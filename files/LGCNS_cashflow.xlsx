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총괄" sheetId="1" state="visible" r:id="rId3"/>
    <sheet name="가정" sheetId="2" state="visible" r:id="rId4"/>
    <sheet name="CF_자금판" sheetId="3" state="visible" r:id="rId5"/>
    <sheet name="연도별요약" sheetId="4" state="visible" r:id="rId6"/>
    <sheet name="공시원문" sheetId="5" state="visible" r:id="rId7"/>
    <sheet name="통제·실행" sheetId="6" state="visible" r:id="rId8"/>
    <sheet name="검증" sheetId="7" state="visible" r:id="rId9"/>
  </sheets>
  <calcPr iterateCount="100" refMode="A1" iterate="false" iterateDelta="0.0001"/>
</workbook>
</file>

<file path=xl/sharedStrings.xml><?xml version="1.0" encoding="utf-8"?>
<sst xmlns="http://schemas.openxmlformats.org/spreadsheetml/2006/main" count="867" uniqueCount="520">
  <si>
    <t xml:space="preserve">LG CNS 확약 회전한도(RCF) — 총괄표 (단위: 억원)</t>
  </si>
  <si>
    <t xml:space="preserve">분석 기준 2026.10 · 별도 재무 2026.06.30 · 자금판 2026.07–2028.12 (전 기간 추정) · 공개자료 기반 독립 분석</t>
  </si>
  <si>
    <t xml:space="preserve">[1] 제안 개요</t>
  </si>
  <si>
    <t xml:space="preserve">구분</t>
  </si>
  <si>
    <t xml:space="preserve">금액</t>
  </si>
  <si>
    <t xml:space="preserve">비율·일자</t>
  </si>
  <si>
    <t xml:space="preserve">비고</t>
  </si>
  <si>
    <t xml:space="preserve">조달 수단</t>
  </si>
  <si>
    <t xml:space="preserve">확약 회전한도</t>
  </si>
  <si>
    <t xml:space="preserve">RCF</t>
  </si>
  <si>
    <t xml:space="preserve">기업신용 기반 · 무담보 · 2개 은행 분산 협의</t>
  </si>
  <si>
    <t xml:space="preserve">확약한도</t>
  </si>
  <si>
    <t xml:space="preserve">회수지연 최대 인출 ÷ 목표 사용률 → 500억 단위 올림</t>
  </si>
  <si>
    <t xml:space="preserve">산정 한도 (검산)</t>
  </si>
  <si>
    <t xml:space="preserve">가정 [6] 산식 결과</t>
  </si>
  <si>
    <t xml:space="preserve">약정 기간</t>
  </si>
  <si>
    <t xml:space="preserve">24개월 · 자동 연장 없음 · 만기월 잔액 전액 상환</t>
  </si>
  <si>
    <t xml:space="preserve">인출 금리</t>
  </si>
  <si>
    <t xml:space="preserve">가정 · 은행 견적 전</t>
  </si>
  <si>
    <t xml:space="preserve">미사용 수수료</t>
  </si>
  <si>
    <t xml:space="preserve">미사용 잔액 기준 연율</t>
  </si>
  <si>
    <t xml:space="preserve">약정 수수료</t>
  </si>
  <si>
    <t xml:space="preserve">신규 협의 한도 기준 일회</t>
  </si>
  <si>
    <t xml:space="preserve">기초 가용유동성</t>
  </si>
  <si>
    <t xml:space="preserve">별도 현금 + 유동 예치금 (2026.06.30)</t>
  </si>
  <si>
    <t xml:space="preserve">최소 유동성 하한</t>
  </si>
  <si>
    <t xml:space="preserve">월 현금영업비용 대용치 × 유지 개월</t>
  </si>
  <si>
    <t xml:space="preserve">[2] 시나리오별 결과</t>
  </si>
  <si>
    <t xml:space="preserve">기본</t>
  </si>
  <si>
    <t xml:space="preserve">회수지연</t>
  </si>
  <si>
    <t xml:space="preserve">복합위기</t>
  </si>
  <si>
    <t xml:space="preserve">영업 CF 적용률 (최저)</t>
  </si>
  <si>
    <t xml:space="preserve">추가 회수일수 (최대)</t>
  </si>
  <si>
    <t xml:space="preserve">GPU 지급 총액</t>
  </si>
  <si>
    <t xml:space="preserve">공시 3,814 × 원가 배수</t>
  </si>
  <si>
    <t xml:space="preserve">조달 전 최저 유동성</t>
  </si>
  <si>
    <t xml:space="preserve">신규 조달 없는 경로</t>
  </si>
  <si>
    <t xml:space="preserve">조달 전 최저 시점</t>
  </si>
  <si>
    <t xml:space="preserve">조달 전 최대 하한 부족</t>
  </si>
  <si>
    <t xml:space="preserve">최초 인출 시점</t>
  </si>
  <si>
    <t xml:space="preserve">최대 인출잔액</t>
  </si>
  <si>
    <t xml:space="preserve">최대 인출 시점</t>
  </si>
  <si>
    <t xml:space="preserve">한도 사용률 (최대)</t>
  </si>
  <si>
    <t xml:space="preserve">전액 상환 시점</t>
  </si>
  <si>
    <t xml:space="preserve">만기 2028.09 강제 상환 포함</t>
  </si>
  <si>
    <t xml:space="preserve">조달 후 최저 유동성</t>
  </si>
  <si>
    <t xml:space="preserve">미해결 하한 부족</t>
  </si>
  <si>
    <t xml:space="preserve">0 초과 = 한도만으로 해결 불가</t>
  </si>
  <si>
    <t xml:space="preserve">30개월 금융비용</t>
  </si>
  <si>
    <t xml:space="preserve">  └ 약정 수수료</t>
  </si>
  <si>
    <t xml:space="preserve">  └ 미사용 수수료</t>
  </si>
  <si>
    <t xml:space="preserve">  └ 인출 이자</t>
  </si>
  <si>
    <t xml:space="preserve">기말 가용유동성 (2028.12)</t>
  </si>
  <si>
    <t xml:space="preserve">판단</t>
  </si>
  <si>
    <t xml:space="preserve">[3] 조달비용 비교 — 4,500억원 1년 전액 미사용 가정</t>
  </si>
  <si>
    <t xml:space="preserve">요율</t>
  </si>
  <si>
    <t xml:space="preserve">산식</t>
  </si>
  <si>
    <t xml:space="preserve">선차입 이자</t>
  </si>
  <si>
    <t xml:space="preserve">한도 × 인출 금리</t>
  </si>
  <si>
    <t xml:space="preserve">(−) 예금 운용수익</t>
  </si>
  <si>
    <t xml:space="preserve">한도 × 운용수익률</t>
  </si>
  <si>
    <t xml:space="preserve">(+) 약정 수수료</t>
  </si>
  <si>
    <t xml:space="preserve">선차입도 동일 수수료 가정</t>
  </si>
  <si>
    <t xml:space="preserve">선차입 순비용</t>
  </si>
  <si>
    <t xml:space="preserve">확약한도 미사용 수수료</t>
  </si>
  <si>
    <t xml:space="preserve">한도 × 미사용 수수료</t>
  </si>
  <si>
    <t xml:space="preserve">확약한도 비용</t>
  </si>
  <si>
    <t xml:space="preserve">첫해 비용 차이</t>
  </si>
  <si>
    <t xml:space="preserve">선차입 순비용 − 확약한도 비용</t>
  </si>
  <si>
    <t xml:space="preserve">미사용 수수료 손익분기</t>
  </si>
  <si>
    <t xml:space="preserve">이 요율 미만이면 확약한도 유리</t>
  </si>
  <si>
    <t xml:space="preserve">세금·공모 발행비·예금 중도해지 비용 제외 · 실제 인출 시 비교 결과 변동</t>
  </si>
  <si>
    <t xml:space="preserve">[4] 투자회수 최소조건 — GPU 3,814억원</t>
  </si>
  <si>
    <t xml:space="preserve">요율·기간</t>
  </si>
  <si>
    <t xml:space="preserve">GPU 투자금</t>
  </si>
  <si>
    <t xml:space="preserve">회수기간 · 요구수익률</t>
  </si>
  <si>
    <t xml:space="preserve">요구수익률 = 가정 D76</t>
  </si>
  <si>
    <t xml:space="preserve">단순 회수 연평균 순CF</t>
  </si>
  <si>
    <t xml:space="preserve">잔존가치 0</t>
  </si>
  <si>
    <t xml:space="preserve">NPV = 0 연평균 순CF</t>
  </si>
  <si>
    <t xml:space="preserve">균등 연말 현금흐름</t>
  </si>
  <si>
    <t xml:space="preserve">월 환산</t>
  </si>
  <si>
    <t xml:space="preserve">고객 수금 − 전력·IDC·운영비 − 세금 기준</t>
  </si>
  <si>
    <t xml:space="preserve">[5] 재무 여력 — 회수지연 인출 정점 기준</t>
  </si>
  <si>
    <t xml:space="preserve">2026.06</t>
  </si>
  <si>
    <t xml:space="preserve">인출 정점</t>
  </si>
  <si>
    <t xml:space="preserve">증감</t>
  </si>
  <si>
    <t xml:space="preserve">별도 차입금 (리스 제외)</t>
  </si>
  <si>
    <t xml:space="preserve">만기 도래 사채 상환 후 + 최대 인출</t>
  </si>
  <si>
    <t xml:space="preserve">별도 리스부채</t>
  </si>
  <si>
    <t xml:space="preserve">2026.06 수준 유지 가정</t>
  </si>
  <si>
    <t xml:space="preserve">별도 자본총계</t>
  </si>
  <si>
    <t xml:space="preserve">차입금 ÷ 자본</t>
  </si>
  <si>
    <t xml:space="preserve">(차입금 + 리스) ÷ 자본</t>
  </si>
  <si>
    <t xml:space="preserve">인출 정점 = 회수지연 시나리오 최대 인출 시점 · 자본·리스부채는 2026.06 고정 (단순화)</t>
  </si>
  <si>
    <t xml:space="preserve">[6] 사용법</t>
  </si>
  <si>
    <t xml:space="preserve">① 가정 시트 노란 셀 수정 (한도·금리·하한 개월·일정)</t>
  </si>
  <si>
    <t xml:space="preserve">② 시나리오별 월별 가정은 CF_자금판 각 블록 상단 3행 (적용률 · 회수일수 · 원가 배수)</t>
  </si>
  <si>
    <t xml:space="preserve">③ 총괄 [2]에서 최대 인출·미해결 부족 확인 → 검증 시트 상태 확인</t>
  </si>
  <si>
    <t xml:space="preserve">④ 2026.07 이후 실적·예금 만기·GPU 지급계약 입수 시 추정치부터 교체</t>
  </si>
  <si>
    <t xml:space="preserve">LG CNS 자금판 — 가정 (단위: 억원)</t>
  </si>
  <si>
    <t xml:space="preserve">노란 음영·파란 글씨 = 입력값 · 초록 글씨 = 공시원문 연결 · 검정 = 계산 · 성격: 공시 / 가정 / 계산 / 확인필요</t>
  </si>
  <si>
    <t xml:space="preserve">[1] 기초 유동성 — 별도 기준</t>
  </si>
  <si>
    <t xml:space="preserve">2025.12</t>
  </si>
  <si>
    <t xml:space="preserve">현금 및 현금성자산</t>
  </si>
  <si>
    <t xml:space="preserve">공시</t>
  </si>
  <si>
    <t xml:space="preserve">별도 재무상태표</t>
  </si>
  <si>
    <t xml:space="preserve">유동 금융기관예치금</t>
  </si>
  <si>
    <t xml:space="preserve">상반기 순증 5,000 · 내부 자금운용 이동</t>
  </si>
  <si>
    <t xml:space="preserve">현금 + 유동 예치금</t>
  </si>
  <si>
    <t xml:space="preserve">합계</t>
  </si>
  <si>
    <t xml:space="preserve">실질 감소 규모</t>
  </si>
  <si>
    <t xml:space="preserve">(−) 예금 미가용액</t>
  </si>
  <si>
    <t xml:space="preserve">—</t>
  </si>
  <si>
    <t xml:space="preserve">입력 · 확인필요</t>
  </si>
  <si>
    <t xml:space="preserve">예치금 만기·질권·해지 제한 확인 후 차감</t>
  </si>
  <si>
    <t xml:space="preserve">2026.06 합계 − 미가용액</t>
  </si>
  <si>
    <t xml:space="preserve">CF_자금판 출발점</t>
  </si>
  <si>
    <t xml:space="preserve">[2] 2026 상반기 현금 검산</t>
  </si>
  <si>
    <t xml:space="preserve">요율·시점</t>
  </si>
  <si>
    <t xml:space="preserve">성격</t>
  </si>
  <si>
    <t xml:space="preserve">기초 현금 (2025.12)</t>
  </si>
  <si>
    <t xml:space="preserve">영업활동 현금흐름</t>
  </si>
  <si>
    <t xml:space="preserve">투자활동 현금흐름</t>
  </si>
  <si>
    <t xml:space="preserve">  └ 예치금 순증</t>
  </si>
  <si>
    <t xml:space="preserve">현금 → 예치금 이동</t>
  </si>
  <si>
    <t xml:space="preserve">  └ 기타 투자</t>
  </si>
  <si>
    <t xml:space="preserve">계산</t>
  </si>
  <si>
    <t xml:space="preserve">유·무형자산 취득 등</t>
  </si>
  <si>
    <t xml:space="preserve">재무활동 현금흐름</t>
  </si>
  <si>
    <t xml:space="preserve">  └ 사채 상환</t>
  </si>
  <si>
    <t xml:space="preserve">  └ 배당금 지급</t>
  </si>
  <si>
    <t xml:space="preserve">  └ 리스원금 상환</t>
  </si>
  <si>
    <t xml:space="preserve">환율 효과</t>
  </si>
  <si>
    <t xml:space="preserve">기말 현금 (계산)</t>
  </si>
  <si>
    <t xml:space="preserve">기초 + 영업 + 투자 + 재무 + 환율</t>
  </si>
  <si>
    <t xml:space="preserve">기말 현금 (공시)</t>
  </si>
  <si>
    <t xml:space="preserve">차이</t>
  </si>
  <si>
    <t xml:space="preserve">검산</t>
  </si>
  <si>
    <t xml:space="preserve">0이면 정상</t>
  </si>
  <si>
    <t xml:space="preserve">[3] 조정 영업현금흐름 — 자금판 출발점</t>
  </si>
  <si>
    <t xml:space="preserve">영업활동 현금흐름 (반기)</t>
  </si>
  <si>
    <t xml:space="preserve">(−) 운전자본 현금유입</t>
  </si>
  <si>
    <t xml:space="preserve">상반기 회수 효과 반복 배제</t>
  </si>
  <si>
    <t xml:space="preserve">(−) 수취이자</t>
  </si>
  <si>
    <t xml:space="preserve">예금 이자 미반영</t>
  </si>
  <si>
    <t xml:space="preserve">(−) 수취배당</t>
  </si>
  <si>
    <t xml:space="preserve">(−) 법인세 환급</t>
  </si>
  <si>
    <t xml:space="preserve">비정기 유입</t>
  </si>
  <si>
    <t xml:space="preserve">조정 영업CF (반기)</t>
  </si>
  <si>
    <t xml:space="preserve">지급이자·납부세금은 차감 후 수치</t>
  </si>
  <si>
    <t xml:space="preserve">조정 영업CF (월)</t>
  </si>
  <si>
    <t xml:space="preserve">반기 ÷ 6</t>
  </si>
  <si>
    <t xml:space="preserve">GPU 신규 수익 0 (고객계약 미공개)</t>
  </si>
  <si>
    <t xml:space="preserve">[4] 고정 유출·확정 일정</t>
  </si>
  <si>
    <t xml:space="preserve">기존 CAPEX (월)</t>
  </si>
  <si>
    <t xml:space="preserve">유·무형 현금취득 반기 ÷ 6</t>
  </si>
  <si>
    <t xml:space="preserve">투자계획 입수 시 월별 실액으로 교체</t>
  </si>
  <si>
    <t xml:space="preserve">리스원금 상환 (월)</t>
  </si>
  <si>
    <t xml:space="preserve">반기 상환액 ÷ 6</t>
  </si>
  <si>
    <t xml:space="preserve">기말배당 (매년)</t>
  </si>
  <si>
    <t xml:space="preserve">가정</t>
  </si>
  <si>
    <t xml:space="preserve">2026.04 지급액 반복</t>
  </si>
  <si>
    <t xml:space="preserve">D열 = 지급월</t>
  </si>
  <si>
    <t xml:space="preserve">중간배당 (매년)</t>
  </si>
  <si>
    <t xml:space="preserve">공시·가정</t>
  </si>
  <si>
    <t xml:space="preserve">2026.09.04 지급예정 · 이후 반복</t>
  </si>
  <si>
    <t xml:space="preserve">12-3회 사채 만기</t>
  </si>
  <si>
    <t xml:space="preserve">만기월 액면 전액 상환</t>
  </si>
  <si>
    <t xml:space="preserve">13-3회 사채 만기</t>
  </si>
  <si>
    <t xml:space="preserve">GPU·인프라 장비 취득</t>
  </si>
  <si>
    <t xml:space="preserve">지급비중은 CF_자금판 10행 입력</t>
  </si>
  <si>
    <t xml:space="preserve">취득예정일 · 지급조건 미공개</t>
  </si>
  <si>
    <t xml:space="preserve">2025 별도 매출</t>
  </si>
  <si>
    <t xml:space="preserve">매출 1일당 금액</t>
  </si>
  <si>
    <t xml:space="preserve">연 매출 ÷ 365</t>
  </si>
  <si>
    <t xml:space="preserve">회수 1일 지연 시 묶이는 자금</t>
  </si>
  <si>
    <t xml:space="preserve">[5] 최소 유동성 하한</t>
  </si>
  <si>
    <t xml:space="preserve">매출원가 + 판관비 (반기)</t>
  </si>
  <si>
    <t xml:space="preserve">(−) 감가상각 + 무형상각</t>
  </si>
  <si>
    <t xml:space="preserve">월 현금영업비용 대용치</t>
  </si>
  <si>
    <t xml:space="preserve">(비용 − 상각) ÷ 6</t>
  </si>
  <si>
    <t xml:space="preserve">유지 개월수</t>
  </si>
  <si>
    <t xml:space="preserve">분석 가정 · 회사 정책 아님. 1개월이면 하한 3,802.9</t>
  </si>
  <si>
    <t xml:space="preserve">월 현금영업비용 × 유지 개월</t>
  </si>
  <si>
    <t xml:space="preserve">[6] 확약 회전한도 (RCF) 조건</t>
  </si>
  <si>
    <t xml:space="preserve">확약한도 (목표 총액)</t>
  </si>
  <si>
    <t xml:space="preserve">회수지연 최대 인출 ÷ 목표 사용률</t>
  </si>
  <si>
    <t xml:space="preserve">500억 단위 올림</t>
  </si>
  <si>
    <t xml:space="preserve">목표 사용률</t>
  </si>
  <si>
    <t xml:space="preserve">한도 대비 최대 인출 상한</t>
  </si>
  <si>
    <t xml:space="preserve">회수지연 최대 인출 ÷ 사용률 → 500 올림</t>
  </si>
  <si>
    <t xml:space="preserve">C61과 다르면 한도 재검토</t>
  </si>
  <si>
    <t xml:space="preserve">기존 확약한도 (확인분)</t>
  </si>
  <si>
    <t xml:space="preserve">확인필요</t>
  </si>
  <si>
    <t xml:space="preserve">일반 목적·미사용·만기 충족분만 차감</t>
  </si>
  <si>
    <t xml:space="preserve">신규 협의 한도</t>
  </si>
  <si>
    <t xml:space="preserve">기준금리 + 가산금리 · 은행 견적 전</t>
  </si>
  <si>
    <t xml:space="preserve">미사용 잔액 × 연율 × 일수/365</t>
  </si>
  <si>
    <t xml:space="preserve">약정 수수료 (일회)</t>
  </si>
  <si>
    <t xml:space="preserve">신규 협의 한도 × 요율</t>
  </si>
  <si>
    <t xml:space="preserve">약정 개시일</t>
  </si>
  <si>
    <t xml:space="preserve">실제 체결일로 수정</t>
  </si>
  <si>
    <t xml:space="preserve">만기일</t>
  </si>
  <si>
    <t xml:space="preserve">24개월 · 만기월 잔액 전액 상환 · 자동 연장 없음</t>
  </si>
  <si>
    <t xml:space="preserve">비교용 예금 운용수익률</t>
  </si>
  <si>
    <t xml:space="preserve">총괄 [3] 비용 비교 전용</t>
  </si>
  <si>
    <t xml:space="preserve">[7] 투자회수 최소조건 — GPU</t>
  </si>
  <si>
    <t xml:space="preserve">요구수익률 (세후)</t>
  </si>
  <si>
    <t xml:space="preserve">검토용 · 회사 WACC 아님</t>
  </si>
  <si>
    <t xml:space="preserve">회수기간</t>
  </si>
  <si>
    <t xml:space="preserve">경제적 회수 시험 · 회계 내용연수 아님</t>
  </si>
  <si>
    <t xml:space="preserve">잔존가치율</t>
  </si>
  <si>
    <t xml:space="preserve">보수적 0</t>
  </si>
  <si>
    <t xml:space="preserve">(투자금 − 잔존가치) ÷ 기간</t>
  </si>
  <si>
    <t xml:space="preserve">균등 연말 현금흐름 가정</t>
  </si>
  <si>
    <t xml:space="preserve">[8] 시나리오 정의 — 월별 입력은 CF_자금판 각 블록 상단 3행</t>
  </si>
  <si>
    <t xml:space="preserve">시나리오</t>
  </si>
  <si>
    <t xml:space="preserve">영업CF 적용률</t>
  </si>
  <si>
    <t xml:space="preserve">추가 회수일수</t>
  </si>
  <si>
    <t xml:space="preserve">GPU 원가</t>
  </si>
  <si>
    <t xml:space="preserve">기간·조건</t>
  </si>
  <si>
    <t xml:space="preserve">100%</t>
  </si>
  <si>
    <t xml:space="preserve">0일</t>
  </si>
  <si>
    <t xml:space="preserve">+0%</t>
  </si>
  <si>
    <t xml:space="preserve">현금창출 유지</t>
  </si>
  <si>
    <t xml:space="preserve">80%</t>
  </si>
  <si>
    <t xml:space="preserve">최대 30일</t>
  </si>
  <si>
    <t xml:space="preserve">+10%</t>
  </si>
  <si>
    <t xml:space="preserve">CF 80%: 2026.10–2027.12 · 회수일수 2026.10부터 월 3.3일씩 증가, 2027.06–12 30일, 2028.01–06 정상화</t>
  </si>
  <si>
    <t xml:space="preserve">60%</t>
  </si>
  <si>
    <t xml:space="preserve">최대 60일</t>
  </si>
  <si>
    <t xml:space="preserve">+20%</t>
  </si>
  <si>
    <t xml:space="preserve">CF 60%: 2026.10 이후 지속 · 회수일수 2027.06까지 60일로 증가 후 유지</t>
  </si>
  <si>
    <t xml:space="preserve">확률·회사 전망이 아닌 조건 시험 · 원가 스트레스에 환율·부가세 환급시차 포함</t>
  </si>
  <si>
    <t xml:space="preserve">LG CNS 자금판 — 월별 자금수지 · 3개 시나리오 (단위: 억원)</t>
  </si>
  <si>
    <t xml:space="preserve">2026.07 이후 전 기간 추정 · 월말 기준 · 인출 월초 / 상환 월말 단순화 · 이자 = 실제 일수 / 365 · 노란 음영 = 입력값</t>
  </si>
  <si>
    <t xml:space="preserve">2026</t>
  </si>
  <si>
    <t xml:space="preserve">2027</t>
  </si>
  <si>
    <t xml:space="preserve">2028</t>
  </si>
  <si>
    <t xml:space="preserve">항목</t>
  </si>
  <si>
    <t xml:space="preserve">30개월 합계</t>
  </si>
  <si>
    <t xml:space="preserve">기간 최저</t>
  </si>
  <si>
    <t xml:space="preserve">일수</t>
  </si>
  <si>
    <t xml:space="preserve">[A] 공통 항목</t>
  </si>
  <si>
    <t xml:space="preserve">GPU 지급 비중 (입력)</t>
  </si>
  <si>
    <t xml:space="preserve">GPU 지급 (기준 원가)</t>
  </si>
  <si>
    <t xml:space="preserve">기존 CAPEX</t>
  </si>
  <si>
    <t xml:space="preserve">리스원금 상환</t>
  </si>
  <si>
    <t xml:space="preserve">배당금 지급</t>
  </si>
  <si>
    <t xml:space="preserve">기존 사채 만기상환</t>
  </si>
  <si>
    <t xml:space="preserve">추가 승인투자 (입력 · 유출 양수)</t>
  </si>
  <si>
    <t xml:space="preserve">GPU 추가 순현금유입 (입력)</t>
  </si>
  <si>
    <t xml:space="preserve">공통 현금흐름 계 (GPU 제외)</t>
  </si>
  <si>
    <t xml:space="preserve">활성 확약한도</t>
  </si>
  <si>
    <t xml:space="preserve">[B] 기본 — 현금창출 유지</t>
  </si>
  <si>
    <t xml:space="preserve">영업 CF 적용률 (입력)</t>
  </si>
  <si>
    <t xml:space="preserve">추가 회수일수 (입력)</t>
  </si>
  <si>
    <t xml:space="preserve">GPU 원가 배수 (입력)</t>
  </si>
  <si>
    <t xml:space="preserve">조정 영업 CF</t>
  </si>
  <si>
    <t xml:space="preserve">운전자본 증감 (회수 지연)</t>
  </si>
  <si>
    <t xml:space="preserve">GPU 지급</t>
  </si>
  <si>
    <t xml:space="preserve">공통 현금흐름</t>
  </si>
  <si>
    <t xml:space="preserve">조달 전 순현금흐름</t>
  </si>
  <si>
    <t xml:space="preserve">조달 전 기말 유동성</t>
  </si>
  <si>
    <t xml:space="preserve">조달 전 하한 대비</t>
  </si>
  <si>
    <t xml:space="preserve">인출 전 가용유동성</t>
  </si>
  <si>
    <t xml:space="preserve">기초 인출잔액</t>
  </si>
  <si>
    <t xml:space="preserve">필요 인출액 (한도 전)</t>
  </si>
  <si>
    <t xml:space="preserve">인출액 (한도 내)</t>
  </si>
  <si>
    <t xml:space="preserve">인출 이자</t>
  </si>
  <si>
    <t xml:space="preserve">상환액</t>
  </si>
  <si>
    <t xml:space="preserve">기말 인출잔액</t>
  </si>
  <si>
    <t xml:space="preserve">기말 가용유동성 (조달 후)</t>
  </si>
  <si>
    <t xml:space="preserve">하한 대비 여유·부족</t>
  </si>
  <si>
    <t xml:space="preserve">금융비용 계</t>
  </si>
  <si>
    <t xml:space="preserve">[C] 회수지연 — CF 80% · 회수 30일 지연 · GPU 원가 +10%</t>
  </si>
  <si>
    <t xml:space="preserve">[D] 복합위기 — CF 60% 지속 · 회수 60일 지연 지속 · GPU 원가 +20%</t>
  </si>
  <si>
    <t xml:space="preserve">계산 순서: 월말 부족액을 월초 인출로 간주 · 인출잔액 이자는 실제 일수/365로 한 달 전액 부과 · 미사용 수수료는 인출 직후 잔액 기준 · 상환은 월말</t>
  </si>
  <si>
    <t xml:space="preserve">필요 인출액 = (하한 − 인출 전 가용 + 기존잔액 이자 + 미사용 수수료 + 약정 수수료) ÷ (1 − 금리×일수/365 + 수수료율×일수/365) → 순환참조 없이 당월 비용 반영</t>
  </si>
  <si>
    <t xml:space="preserve">하한 부족·현금 마이너스 = 해당 가정 조합의 미해결 자금부족 경보 · 만기월은 연장 없이 전액 상환 · 실행 전 13주 일별 자금계획으로 보완</t>
  </si>
  <si>
    <t xml:space="preserve">LG CNS 자금판 — 연도별 요약 (단위: 억원)</t>
  </si>
  <si>
    <t xml:space="preserve">2026년은 7–12월 · 합계는 30개월 · 기말·최저는 조달 후 기준</t>
  </si>
  <si>
    <t xml:space="preserve">[1] 기본</t>
  </si>
  <si>
    <t xml:space="preserve">2026H2</t>
  </si>
  <si>
    <t xml:space="preserve">운전자본 증감</t>
  </si>
  <si>
    <t xml:space="preserve">회수 지연분 · 정상화 시 환입</t>
  </si>
  <si>
    <t xml:space="preserve">기존 CAPEX · 리스원금</t>
  </si>
  <si>
    <t xml:space="preserve">배당금</t>
  </si>
  <si>
    <t xml:space="preserve">4월 기말 · 9월 중간</t>
  </si>
  <si>
    <t xml:space="preserve">기존 사채 상환</t>
  </si>
  <si>
    <t xml:space="preserve">추가투자 · GPU 추가CF</t>
  </si>
  <si>
    <t xml:space="preserve">기본 0</t>
  </si>
  <si>
    <t xml:space="preserve">신규 인출</t>
  </si>
  <si>
    <t xml:space="preserve">차입 상환</t>
  </si>
  <si>
    <t xml:space="preserve">금융비용</t>
  </si>
  <si>
    <t xml:space="preserve">약정·미사용 수수료 + 이자</t>
  </si>
  <si>
    <t xml:space="preserve">기말 가용유동성</t>
  </si>
  <si>
    <t xml:space="preserve">기간 최저 유동성</t>
  </si>
  <si>
    <t xml:space="preserve">[2] 회수지연</t>
  </si>
  <si>
    <t xml:space="preserve">[3] 복합위기</t>
  </si>
  <si>
    <t xml:space="preserve">LG CNS 자금판 — 공시원문 (원문 단위 보존)</t>
  </si>
  <si>
    <t xml:space="preserve">원문 금액·단위 그대로 입력 · F열 억원 환산 · 분석 기준 2026.10 · 이후 공시 미반영 · 노란 음영 = 입력값</t>
  </si>
  <si>
    <t xml:space="preserve">[1] 공시 금액</t>
  </si>
  <si>
    <t xml:space="preserve">원문 금액</t>
  </si>
  <si>
    <t xml:space="preserve">단위</t>
  </si>
  <si>
    <t xml:space="preserve">원/단위</t>
  </si>
  <si>
    <t xml:space="preserve">억원</t>
  </si>
  <si>
    <t xml:space="preserve">출처</t>
  </si>
  <si>
    <t xml:space="preserve">공시 위치</t>
  </si>
  <si>
    <t xml:space="preserve">기준</t>
  </si>
  <si>
    <t xml:space="preserve">2025말 별도 현금</t>
  </si>
  <si>
    <t xml:space="preserve">천원</t>
  </si>
  <si>
    <t xml:space="preserve">S1</t>
  </si>
  <si>
    <t xml:space="preserve">4-4 현금흐름표</t>
  </si>
  <si>
    <t xml:space="preserve">2025.12 말</t>
  </si>
  <si>
    <t xml:space="preserve">2026H1말 별도 현금</t>
  </si>
  <si>
    <t xml:space="preserve">4-1 재무상태표</t>
  </si>
  <si>
    <t xml:space="preserve">2026.06 말</t>
  </si>
  <si>
    <t xml:space="preserve">2025말 별도 유동 예치금</t>
  </si>
  <si>
    <t xml:space="preserve">2026H1말 별도 유동 예치금</t>
  </si>
  <si>
    <t xml:space="preserve">2026H1 별도 영업현금흐름</t>
  </si>
  <si>
    <t xml:space="preserve">2026 상반기</t>
  </si>
  <si>
    <t xml:space="preserve">2026H1 별도 투자현금흐름</t>
  </si>
  <si>
    <t xml:space="preserve">2026H1 별도 재무현금흐름</t>
  </si>
  <si>
    <t xml:space="preserve">2026H1 별도 현금 환율효과</t>
  </si>
  <si>
    <t xml:space="preserve">2026H1 예치금 순증가</t>
  </si>
  <si>
    <t xml:space="preserve">유입 400,000,000 / 유출 900,000,000</t>
  </si>
  <si>
    <t xml:space="preserve">2026H1 사채 상환</t>
  </si>
  <si>
    <t xml:space="preserve">2026H1 리스원금 상환</t>
  </si>
  <si>
    <t xml:space="preserve">2026H1 배당금 지급</t>
  </si>
  <si>
    <t xml:space="preserve">2026H1 유형자산 현금취득</t>
  </si>
  <si>
    <t xml:space="preserve">2026H1 무형자산 현금취득</t>
  </si>
  <si>
    <t xml:space="preserve">2026H1 운전자본 현금유입</t>
  </si>
  <si>
    <t xml:space="preserve">별도 주석 32 영업자산·부채 변동</t>
  </si>
  <si>
    <t xml:space="preserve">2026H1 수취이자</t>
  </si>
  <si>
    <t xml:space="preserve">2026H1 수취배당</t>
  </si>
  <si>
    <t xml:space="preserve">2026H1 법인세 환급</t>
  </si>
  <si>
    <t xml:space="preserve">2026H1 매출원가</t>
  </si>
  <si>
    <t xml:space="preserve">4-2 손익계산서</t>
  </si>
  <si>
    <t xml:space="preserve">2026H1 판매관리비</t>
  </si>
  <si>
    <t xml:space="preserve">2026H1 감가상각비</t>
  </si>
  <si>
    <t xml:space="preserve">별도 주석 32 · 사용권자산 포함</t>
  </si>
  <si>
    <t xml:space="preserve">2026H1 무형자산상각비</t>
  </si>
  <si>
    <t xml:space="preserve">별도 주석 32</t>
  </si>
  <si>
    <t xml:space="preserve">2025 연간 별도 매출</t>
  </si>
  <si>
    <t xml:space="preserve">백만원</t>
  </si>
  <si>
    <t xml:space="preserve">요약 별도재무정보</t>
  </si>
  <si>
    <t xml:space="preserve">2025 연간</t>
  </si>
  <si>
    <t xml:space="preserve">12-3회 사채 액면</t>
  </si>
  <si>
    <t xml:space="preserve">별도 주석 13 · 만기 2027.05.14</t>
  </si>
  <si>
    <t xml:space="preserve">13-3회 사채 액면</t>
  </si>
  <si>
    <t xml:space="preserve">별도 주석 13 · 만기 2028.03.10</t>
  </si>
  <si>
    <t xml:space="preserve">2026 중간배당 결의</t>
  </si>
  <si>
    <t xml:space="preserve">원</t>
  </si>
  <si>
    <t xml:space="preserve">S3</t>
  </si>
  <si>
    <t xml:space="preserve">지급예정일 2026.09.04</t>
  </si>
  <si>
    <t xml:space="preserve">2026.08 결의</t>
  </si>
  <si>
    <t xml:space="preserve">GPU·인프라 장비 취득결정</t>
  </si>
  <si>
    <t xml:space="preserve">S2</t>
  </si>
  <si>
    <t xml:space="preserve">취득예정 2027.06.30 · 지급일정 미공개</t>
  </si>
  <si>
    <t xml:space="preserve">2026.09 결의</t>
  </si>
  <si>
    <t xml:space="preserve">별도 장기 제한예치금</t>
  </si>
  <si>
    <t xml:space="preserve">주석 28 · 유동 예치금 미포함</t>
  </si>
  <si>
    <t xml:space="preserve">별도 당좌차월 약정</t>
  </si>
  <si>
    <t xml:space="preserve">주석 28 · 확약·인출조건 미확인</t>
  </si>
  <si>
    <t xml:space="preserve">별도 기타 금융약정</t>
  </si>
  <si>
    <t xml:space="preserve">주석 28 · 공급자 매출채권 금융</t>
  </si>
  <si>
    <t xml:space="preserve">2026H1 연결 현금</t>
  </si>
  <si>
    <t xml:space="preserve">2-1 연결재무상태표</t>
  </si>
  <si>
    <t xml:space="preserve">2026H1 연결 유동 예치금</t>
  </si>
  <si>
    <t xml:space="preserve">별도 차입금 장부금액</t>
  </si>
  <si>
    <t xml:space="preserve">주석 13 · 액면 160,000,000</t>
  </si>
  <si>
    <t xml:space="preserve">유동 116,834,871 + 비유동 286,148,786</t>
  </si>
  <si>
    <t xml:space="preserve">2026H1 별도 자본총계</t>
  </si>
  <si>
    <t xml:space="preserve">[2] 출처</t>
  </si>
  <si>
    <t xml:space="preserve">코드</t>
  </si>
  <si>
    <t xml:space="preserve">자료</t>
  </si>
  <si>
    <t xml:space="preserve">공시일</t>
  </si>
  <si>
    <t xml:space="preserve">링크</t>
  </si>
  <si>
    <t xml:space="preserve">2026년 반기보고서</t>
  </si>
  <si>
    <t xml:space="preserve">2026.08.14</t>
  </si>
  <si>
    <t xml:space="preserve">https://dart.fss.or.kr/dsaf001/main.do?rcpNo=20260814002448</t>
  </si>
  <si>
    <t xml:space="preserve">유형자산 취득결정 (GPU·인프라 장비)</t>
  </si>
  <si>
    <t xml:space="preserve">2026.09.11</t>
  </si>
  <si>
    <t xml:space="preserve">https://dart.fss.or.kr/dsaf001/main.do?rcpNo=20260911800638</t>
  </si>
  <si>
    <t xml:space="preserve">현금·현물배당 결정 (중간배당)</t>
  </si>
  <si>
    <t xml:space="preserve">2026.08.05</t>
  </si>
  <si>
    <t xml:space="preserve">https://financialfilings.com/filings/lg-cns-co-ltd/notice-of-dividend-amount/2026/49961973/</t>
  </si>
  <si>
    <t xml:space="preserve">S4</t>
  </si>
  <si>
    <t xml:space="preserve">2026년 2분기 경영실적 (IR)</t>
  </si>
  <si>
    <t xml:space="preserve">2026.07</t>
  </si>
  <si>
    <t xml:space="preserve">https://www.lgcns.com/content/dam/lgcns/resources/company/ir/investors-activity/earnings-announcement/LG%20CNS_2Q26_Earnings_KR.pdf</t>
  </si>
  <si>
    <t xml:space="preserve">S5</t>
  </si>
  <si>
    <t xml:space="preserve">상반기 실적 보도자료</t>
  </si>
  <si>
    <t xml:space="preserve">https://connect.lgcns.com/kr/newsroom/press/detail.ir-2607-3</t>
  </si>
  <si>
    <t xml:space="preserve">S6</t>
  </si>
  <si>
    <t xml:space="preserve">General Atlantic 공동투자 협약</t>
  </si>
  <si>
    <t xml:space="preserve">2026.10.01</t>
  </si>
  <si>
    <t xml:space="preserve">https://connect.lgcns.com/kr/newsroom/press/detail.ax-2610-1</t>
  </si>
  <si>
    <t xml:space="preserve">S7</t>
  </si>
  <si>
    <t xml:space="preserve">IFRS Foundation — IAS 16 / IFRS 16</t>
  </si>
  <si>
    <t xml:space="preserve">열람 2026.10</t>
  </si>
  <si>
    <t xml:space="preserve">https://www.ifrs.org/issued-standards/list-of-standards/ifrs-16-leases/</t>
  </si>
  <si>
    <t xml:space="preserve">LG CNS 자금판 — 통제 설계 · 실행 순서</t>
  </si>
  <si>
    <t xml:space="preserve">공개자료 기반 통제 설계 예시 · 실제 통제 결함·미비점 진단과 구분</t>
  </si>
  <si>
    <t xml:space="preserve">[1] 투자·조달 수치의 통제 설계</t>
  </si>
  <si>
    <t xml:space="preserve">대상</t>
  </si>
  <si>
    <t xml:space="preserve">위험</t>
  </si>
  <si>
    <t xml:space="preserve">책임 / 주기</t>
  </si>
  <si>
    <t xml:space="preserve">통제</t>
  </si>
  <si>
    <t xml:space="preserve">증빙</t>
  </si>
  <si>
    <t xml:space="preserve">재무제표 주장</t>
  </si>
  <si>
    <t xml:space="preserve">투자 승인</t>
  </si>
  <si>
    <t xml:space="preserve">승인 한도 초과 · 중복 발주</t>
  </si>
  <si>
    <t xml:space="preserve">투자심의 / 발주 전</t>
  </si>
  <si>
    <t xml:space="preserve">투자 승인번호와 발주·계약 금액 대사 · 변경분 재승인</t>
  </si>
  <si>
    <t xml:space="preserve">이사회 의사록 · 투자품의 · 변경 승인</t>
  </si>
  <si>
    <t xml:space="preserve">권한 승인 · 완전성</t>
  </si>
  <si>
    <t xml:space="preserve">지급·선급금</t>
  </si>
  <si>
    <t xml:space="preserve">허위 계좌 · 중복 지급 · 선급금 미정산</t>
  </si>
  <si>
    <t xml:space="preserve">구매·자금 / 지급 건별</t>
  </si>
  <si>
    <t xml:space="preserve">계약·검수·청구서 3자 대사 · 계좌 변경 독립 확인 · 지급자 분리</t>
  </si>
  <si>
    <t xml:space="preserve">계약 원본 · 검수서 · 은행 확인 · 지급 로그</t>
  </si>
  <si>
    <t xml:space="preserve">발생 · 정확성</t>
  </si>
  <si>
    <t xml:space="preserve">자산 인식</t>
  </si>
  <si>
    <t xml:space="preserve">납품 전 본계정 대체 · 비용 자산화</t>
  </si>
  <si>
    <t xml:space="preserve">재무회계 / 월 결산</t>
  </si>
  <si>
    <t xml:space="preserve">선급금·건설중자산·장비·용역 구분 · 사용가능일 확인 후 상각</t>
  </si>
  <si>
    <t xml:space="preserve">구성품 명세 · 인수 테스트 · 가동 승인</t>
  </si>
  <si>
    <t xml:space="preserve">분류 · 기간귀속</t>
  </si>
  <si>
    <t xml:space="preserve">매출·회수</t>
  </si>
  <si>
    <t xml:space="preserve">가동률의 매출 간주 · 미수금 누락</t>
  </si>
  <si>
    <t xml:space="preserve">사업·채권관리 / 월별</t>
  </si>
  <si>
    <t xml:space="preserve">성과의무·청구조건과 사용량 대사 · 연체·분쟁 별도 검토</t>
  </si>
  <si>
    <t xml:space="preserve">고객 계약 · 사용 로그 · 청구·수금 대사</t>
  </si>
  <si>
    <t xml:space="preserve">발생 · 평가</t>
  </si>
  <si>
    <t xml:space="preserve">차입·약정</t>
  </si>
  <si>
    <t xml:space="preserve">공급자 금융을 가용 한도로 오인</t>
  </si>
  <si>
    <t xml:space="preserve">자금·재무회계 / 월별</t>
  </si>
  <si>
    <t xml:space="preserve">은행 확인서로 확약·미사용 한도 확인 · 만기·조건 원장 대사</t>
  </si>
  <si>
    <t xml:space="preserve">약정 원본 · 은행 확인 · 차입 대장</t>
  </si>
  <si>
    <t xml:space="preserve">완전성 · 표시</t>
  </si>
  <si>
    <t xml:space="preserve">리스·손상</t>
  </si>
  <si>
    <t xml:space="preserve">서비스 계약 속 리스 누락 · 잔존가치 과대</t>
  </si>
  <si>
    <t xml:space="preserve">재무회계 / 계약·분기</t>
  </si>
  <si>
    <t xml:space="preserve">특정 자산·통제 여부 검토 · 유휴·교체 GPU 손상징후 점검</t>
  </si>
  <si>
    <t xml:space="preserve">리스 판정 메모 · 이용률 · 수익성 재추정</t>
  </si>
  <si>
    <t xml:space="preserve">분류 · 평가</t>
  </si>
  <si>
    <t xml:space="preserve">자금 예측</t>
  </si>
  <si>
    <t xml:space="preserve">가정 변경 미승인 · 예금 가용성 오류</t>
  </si>
  <si>
    <t xml:space="preserve">자금·검토자 / 주간</t>
  </si>
  <si>
    <t xml:space="preserve">13주 예측과 은행 잔액·예금 만기 대사 · 버전·변경 승인 · 차이 분석</t>
  </si>
  <si>
    <t xml:space="preserve">예측 파일 · 수정 로그 · 실적 차이 설명</t>
  </si>
  <si>
    <t xml:space="preserve">정확성 · 완전성</t>
  </si>
  <si>
    <t xml:space="preserve">[2] 실행 순서</t>
  </si>
  <si>
    <t xml:space="preserve">순서</t>
  </si>
  <si>
    <t xml:space="preserve">작업</t>
  </si>
  <si>
    <t xml:space="preserve">시점</t>
  </si>
  <si>
    <t xml:space="preserve">내용</t>
  </si>
  <si>
    <t xml:space="preserve">산출물</t>
  </si>
  <si>
    <t xml:space="preserve">1</t>
  </si>
  <si>
    <t xml:space="preserve">실제 잔액 확인</t>
  </si>
  <si>
    <t xml:space="preserve">착수 1주</t>
  </si>
  <si>
    <t xml:space="preserve">2026.07 이후 실적 · 은행별 예금 만기·질권 대사</t>
  </si>
  <si>
    <t xml:space="preserve">기초 유동성 갱신 · 가용 한도</t>
  </si>
  <si>
    <t xml:space="preserve">2</t>
  </si>
  <si>
    <t xml:space="preserve">계약 현금흐름</t>
  </si>
  <si>
    <t xml:space="preserve">GPU 지급·검수·환율·세금 · 거래처별 수금일 확인</t>
  </si>
  <si>
    <t xml:space="preserve">13주 자금계획 · 월별 지급표</t>
  </si>
  <si>
    <t xml:space="preserve">3</t>
  </si>
  <si>
    <t xml:space="preserve">스트레스 재계산</t>
  </si>
  <si>
    <t xml:space="preserve">착수 2주</t>
  </si>
  <si>
    <t xml:space="preserve">회수 지연·원가 상승·예금 제약 재시험</t>
  </si>
  <si>
    <t xml:space="preserve">필요 최대 인출 · 하한 · 상환 시점</t>
  </si>
  <si>
    <t xml:space="preserve">4</t>
  </si>
  <si>
    <t xml:space="preserve">금융기관 협의</t>
  </si>
  <si>
    <t xml:space="preserve">착수 2–4주</t>
  </si>
  <si>
    <t xml:space="preserve">기존 한도 차감 후 복수 은행 조건 비교</t>
  </si>
  <si>
    <t xml:space="preserve">총비용·약정 비교 · 승인안</t>
  </si>
  <si>
    <t xml:space="preserve">5</t>
  </si>
  <si>
    <t xml:space="preserve">승인·체결</t>
  </si>
  <si>
    <t xml:space="preserve">착수 5주</t>
  </si>
  <si>
    <t xml:space="preserve">총 금융비용·약정·상환재원 검토 후 내부 권한 승인</t>
  </si>
  <si>
    <t xml:space="preserve">약정서 · 승인 기록</t>
  </si>
  <si>
    <t xml:space="preserve">6</t>
  </si>
  <si>
    <t xml:space="preserve">사후 관리</t>
  </si>
  <si>
    <t xml:space="preserve">체결 후 매주</t>
  </si>
  <si>
    <t xml:space="preserve">주별 예측 차이 · 월별 한도 사용·상환 · 약정 준수</t>
  </si>
  <si>
    <t xml:space="preserve">예외 보고 · 원장 대사</t>
  </si>
  <si>
    <t xml:space="preserve">회수 정상화가 지연되면 만기 6개월 전부터 장기 조달·투자 집행 조정을 함께 검토</t>
  </si>
  <si>
    <t xml:space="preserve">LG CNS 자금판 — 검증</t>
  </si>
  <si>
    <t xml:space="preserve">수식 검증 = 0이면 정상 · 경제적 경보 = 0 초과 시 자금 대응 필요 (수식 오류 아님)</t>
  </si>
  <si>
    <t xml:space="preserve">[1] 수식 검증</t>
  </si>
  <si>
    <t xml:space="preserve">점검 항목</t>
  </si>
  <si>
    <t xml:space="preserve">결과</t>
  </si>
  <si>
    <t xml:space="preserve">상태</t>
  </si>
  <si>
    <t xml:space="preserve">설명</t>
  </si>
  <si>
    <t xml:space="preserve">상반기 현금 검산</t>
  </si>
  <si>
    <t xml:space="preserve">공시 기말 현금과 계산 일치</t>
  </si>
  <si>
    <t xml:space="preserve">GPU 지급비중 합계 − 100%</t>
  </si>
  <si>
    <t xml:space="preserve">지급 누락·중복 방지</t>
  </si>
  <si>
    <t xml:space="preserve">기본 누적 대사</t>
  </si>
  <si>
    <t xml:space="preserve">기초 + 순CF + 인출 − 상환 − 비용 = 기말</t>
  </si>
  <si>
    <t xml:space="preserve">회수지연 누적 대사</t>
  </si>
  <si>
    <t xml:space="preserve">복합위기 누적 대사</t>
  </si>
  <si>
    <t xml:space="preserve">한도 초과 인출</t>
  </si>
  <si>
    <t xml:space="preserve">인출잔액 ≤ 확약한도</t>
  </si>
  <si>
    <t xml:space="preserve">만기 후 잔여 차입</t>
  </si>
  <si>
    <t xml:space="preserve">만기월 전액 상환 · 자동 차환 없음</t>
  </si>
  <si>
    <t xml:space="preserve">사채 원금 대사</t>
  </si>
  <si>
    <t xml:space="preserve">2개 만기 1,600억원</t>
  </si>
  <si>
    <t xml:space="preserve">예금 미가용액 ≤ 유동 예치금</t>
  </si>
  <si>
    <t xml:space="preserve">산정 한도 − 확약한도</t>
  </si>
  <si>
    <t xml:space="preserve">0이 아니면 한도 재검토</t>
  </si>
  <si>
    <t xml:space="preserve">[2] 경제적 경보</t>
  </si>
  <si>
    <t xml:space="preserve">기본 하한 부족 (조달 후)</t>
  </si>
  <si>
    <t xml:space="preserve">0 초과 = 한도 외 추가 대응 필요 (투자·배당 조정, 장기 조달)</t>
  </si>
  <si>
    <t xml:space="preserve">회수지연 하한 부족 (조달 후)</t>
  </si>
  <si>
    <t xml:space="preserve">복합위기 하한 부족 (조달 후)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</si>
</sst>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.0;[RED]\△#,##0.0;\-"/>
    <numFmt numFmtId="166" formatCode="0.0%"/>
    <numFmt numFmtId="167" formatCode="yyyy\.mm\.dd"/>
    <numFmt numFmtId="168" formatCode="0.00%"/>
    <numFmt numFmtId="169" formatCode="#,##0.00;[RED]\△#,##0.00;\-"/>
    <numFmt numFmtId="170" formatCode="0&quot;개월&quot;"/>
    <numFmt numFmtId="171" formatCode="0\일"/>
    <numFmt numFmtId="172" formatCode="yy\.mm"/>
    <numFmt numFmtId="173" formatCode="0\년"/>
    <numFmt numFmtId="174" formatCode="\+0.0%\p;\△0.0%\p;\-"/>
    <numFmt numFmtId="175" formatCode="#,##0"/>
    <numFmt numFmtId="176" formatCode="0\월"/>
    <numFmt numFmtId="177" formatCode="0"/>
    <numFmt numFmtId="178" formatCode="0.0"/>
    <numFmt numFmtId="179" formatCode="0.00"/>
    <numFmt numFmtId="180" formatCode="#,##0;\△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31F20"/>
      <name val="맑은 고딕"/>
      <family val="0"/>
      <charset val="1"/>
    </font>
    <font>
      <sz val="8"/>
      <color rgb="FF808080"/>
      <name val="맑은 고딕"/>
      <family val="0"/>
      <charset val="1"/>
    </font>
    <font>
      <b val="true"/>
      <sz val="11"/>
      <color rgb="FFC30037"/>
      <name val="맑은 고딕"/>
      <family val="0"/>
      <charset val="1"/>
    </font>
    <font>
      <b val="true"/>
      <sz val="9"/>
      <color rgb="FFC30037"/>
      <name val="맑은 고딕"/>
      <family val="0"/>
      <charset val="1"/>
    </font>
    <font>
      <sz val="9"/>
      <color rgb="FF3E3A39"/>
      <name val="맑은 고딕"/>
      <family val="0"/>
      <charset val="1"/>
    </font>
    <font>
      <sz val="8"/>
      <color rgb="FF3E3A39"/>
      <name val="맑은 고딕"/>
      <family val="0"/>
      <charset val="1"/>
    </font>
    <font>
      <b val="true"/>
      <sz val="9"/>
      <color rgb="FF3E3A39"/>
      <name val="맑은 고딕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008000"/>
      <name val="맑은 고딕"/>
      <family val="0"/>
      <charset val="1"/>
    </font>
    <font>
      <sz val="9"/>
      <color rgb="FF0000FF"/>
      <name val="맑은 고딕"/>
      <family val="0"/>
      <charset val="1"/>
    </font>
    <font>
      <sz val="9"/>
      <color rgb="FF7774B5"/>
      <name val="맑은 고딕"/>
      <family val="0"/>
      <charset val="1"/>
    </font>
    <font>
      <sz val="8"/>
      <color rgb="FF0563C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F4F4"/>
        <bgColor rgb="FFFAEBE9"/>
      </patternFill>
    </fill>
    <fill>
      <patternFill patternType="solid">
        <fgColor rgb="FFFAEBE9"/>
        <bgColor rgb="FFF4F4F4"/>
      </patternFill>
    </fill>
    <fill>
      <patternFill patternType="solid">
        <fgColor rgb="FFFFF2CC"/>
        <bgColor rgb="FFFAEB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C30037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맑은 고딕"/>
        <charset val="1"/>
        <family val="0"/>
        <b val="1"/>
        <color rgb="FFC30037"/>
        <sz val="9"/>
      </font>
      <fill>
        <patternFill>
          <bgColor rgb="FFFAEBE9"/>
        </patternFill>
      </fill>
    </dxf>
    <dxf>
      <fill>
        <patternFill>
          <bgColor rgb="FFFAEBE9"/>
        </patternFill>
      </fill>
    </dxf>
    <dxf>
      <font>
        <name val="맑은 고딕"/>
        <charset val="1"/>
        <family val="0"/>
        <b val="1"/>
        <color rgb="FF47B57B"/>
        <sz val="9"/>
      </font>
    </dxf>
    <dxf>
      <font>
        <name val="맑은 고딕"/>
        <charset val="1"/>
        <family val="0"/>
        <b val="1"/>
        <color rgb="FFC30037"/>
        <sz val="9"/>
      </font>
    </dxf>
  </dxfs>
  <colors>
    <indexedColors>
      <rgbColor rgb="FF000000"/>
      <rgbColor rgb="FFF4F4F4"/>
      <rgbColor rgb="FFC3003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78787"/>
      <rgbColor rgb="FF993366"/>
      <rgbColor rgb="FFFFF2CC"/>
      <rgbColor rgb="FFFAEBE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774B5"/>
      <rgbColor rgb="FF898989"/>
      <rgbColor rgb="FF003366"/>
      <rgbColor rgb="FF47B57B"/>
      <rgbColor rgb="FF003300"/>
      <rgbColor rgb="FF231F20"/>
      <rgbColor rgb="FF993300"/>
      <rgbColor rgb="FF993366"/>
      <rgbColor rgb="FF333399"/>
      <rgbColor rgb="FF3E3A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월말 가용유동성 (조달 후, 억원)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"기본"</c:f>
              <c:strCache>
                <c:ptCount val="1"/>
                <c:pt idx="0">
                  <c:v>기본</c:v>
                </c:pt>
              </c:strCache>
            </c:strRef>
          </c:tx>
          <c:spPr>
            <a:solidFill>
              <a:srgbClr val="47b57b"/>
            </a:solidFill>
            <a:ln w="21960">
              <a:solidFill>
                <a:srgbClr val="47b5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CF_자금판!$E$6:$AH$6</c:f>
              <c:multiLvlStrCache>
                <c:ptCount val="1"/>
                <c:lvl>
                  <c:pt idx="0">
                    <c:v>28.12</c:v>
                  </c:pt>
                </c:lvl>
                <c:lvl>
                  <c:pt idx="0">
                    <c:v>28.11</c:v>
                  </c:pt>
                </c:lvl>
                <c:lvl>
                  <c:pt idx="0">
                    <c:v>28.10</c:v>
                  </c:pt>
                </c:lvl>
                <c:lvl>
                  <c:pt idx="0">
                    <c:v>28.09</c:v>
                  </c:pt>
                </c:lvl>
                <c:lvl>
                  <c:pt idx="0">
                    <c:v>28.08</c:v>
                  </c:pt>
                </c:lvl>
                <c:lvl>
                  <c:pt idx="0">
                    <c:v>28.07</c:v>
                  </c:pt>
                </c:lvl>
                <c:lvl>
                  <c:pt idx="0">
                    <c:v>28.06</c:v>
                  </c:pt>
                </c:lvl>
                <c:lvl>
                  <c:pt idx="0">
                    <c:v>28.05</c:v>
                  </c:pt>
                </c:lvl>
                <c:lvl>
                  <c:pt idx="0">
                    <c:v>28.04</c:v>
                  </c:pt>
                </c:lvl>
                <c:lvl>
                  <c:pt idx="0">
                    <c:v>28.03</c:v>
                  </c:pt>
                </c:lvl>
                <c:lvl>
                  <c:pt idx="0">
                    <c:v>28.02</c:v>
                  </c:pt>
                </c:lvl>
                <c:lvl>
                  <c:pt idx="0">
                    <c:v>28.01</c:v>
                  </c:pt>
                </c:lvl>
                <c:lvl>
                  <c:pt idx="0">
                    <c:v>27.12</c:v>
                  </c:pt>
                </c:lvl>
                <c:lvl>
                  <c:pt idx="0">
                    <c:v>27.11</c:v>
                  </c:pt>
                </c:lvl>
                <c:lvl>
                  <c:pt idx="0">
                    <c:v>27.10</c:v>
                  </c:pt>
                </c:lvl>
                <c:lvl>
                  <c:pt idx="0">
                    <c:v>27.09</c:v>
                  </c:pt>
                </c:lvl>
                <c:lvl>
                  <c:pt idx="0">
                    <c:v>27.08</c:v>
                  </c:pt>
                </c:lvl>
                <c:lvl>
                  <c:pt idx="0">
                    <c:v>27.07</c:v>
                  </c:pt>
                </c:lvl>
                <c:lvl>
                  <c:pt idx="0">
                    <c:v>27.06</c:v>
                  </c:pt>
                </c:lvl>
                <c:lvl>
                  <c:pt idx="0">
                    <c:v>27.05</c:v>
                  </c:pt>
                </c:lvl>
                <c:lvl>
                  <c:pt idx="0">
                    <c:v>27.04</c:v>
                  </c:pt>
                </c:lvl>
                <c:lvl>
                  <c:pt idx="0">
                    <c:v>27.03</c:v>
                  </c:pt>
                </c:lvl>
                <c:lvl>
                  <c:pt idx="0">
                    <c:v>27.02</c:v>
                  </c:pt>
                </c:lvl>
                <c:lvl>
                  <c:pt idx="0">
                    <c:v>27.01</c:v>
                  </c:pt>
                </c:lvl>
                <c:lvl>
                  <c:pt idx="0">
                    <c:v>26.12</c:v>
                  </c:pt>
                </c:lvl>
                <c:lvl>
                  <c:pt idx="0">
                    <c:v>26.11</c:v>
                  </c:pt>
                </c:lvl>
                <c:lvl>
                  <c:pt idx="0">
                    <c:v>26.10</c:v>
                  </c:pt>
                </c:lvl>
                <c:lvl>
                  <c:pt idx="0">
                    <c:v>26.09</c:v>
                  </c:pt>
                </c:lvl>
                <c:lvl>
                  <c:pt idx="0">
                    <c:v>26.08</c:v>
                  </c:pt>
                </c:lvl>
                <c:lvl>
                  <c:pt idx="0">
                    <c:v>26.07</c:v>
                  </c:pt>
                </c:lvl>
              </c:multiLvlStrCache>
            </c:multiLvlStrRef>
          </c:cat>
          <c:val>
            <c:numRef>
              <c:f>CF_자금판!$E$43:$AH$43</c:f>
              <c:numCache>
                <c:formatCode>#,##0.0;[RED]\△#,##0.0;\-</c:formatCode>
                <c:ptCount val="30"/>
                <c:pt idx="0">
                  <c:v>14222.1539166667</c:v>
                </c:pt>
                <c:pt idx="1">
                  <c:v>14399.5013933333</c:v>
                </c:pt>
                <c:pt idx="2">
                  <c:v>13850.20426</c:v>
                </c:pt>
                <c:pt idx="3">
                  <c:v>13257.0462572146</c:v>
                </c:pt>
                <c:pt idx="4">
                  <c:v>13433.469076347</c:v>
                </c:pt>
                <c:pt idx="5">
                  <c:v>13609.8610735616</c:v>
                </c:pt>
                <c:pt idx="6">
                  <c:v>13786.2530707763</c:v>
                </c:pt>
                <c:pt idx="7">
                  <c:v>13962.7375337443</c:v>
                </c:pt>
                <c:pt idx="8">
                  <c:v>12994.9295309589</c:v>
                </c:pt>
                <c:pt idx="9">
                  <c:v>12105.6069200913</c:v>
                </c:pt>
                <c:pt idx="10">
                  <c:v>11281.9989173059</c:v>
                </c:pt>
                <c:pt idx="11">
                  <c:v>9551.42173643835</c:v>
                </c:pt>
                <c:pt idx="12">
                  <c:v>9727.81373365296</c:v>
                </c:pt>
                <c:pt idx="13">
                  <c:v>9904.20573086757</c:v>
                </c:pt>
                <c:pt idx="14">
                  <c:v>9353.98393999999</c:v>
                </c:pt>
                <c:pt idx="15">
                  <c:v>9530.3759372146</c:v>
                </c:pt>
                <c:pt idx="16">
                  <c:v>9706.79875634702</c:v>
                </c:pt>
                <c:pt idx="17">
                  <c:v>9883.19075356163</c:v>
                </c:pt>
                <c:pt idx="18">
                  <c:v>10059.5827507762</c:v>
                </c:pt>
                <c:pt idx="19">
                  <c:v>10236.0363918265</c:v>
                </c:pt>
                <c:pt idx="20">
                  <c:v>9812.42838904108</c:v>
                </c:pt>
                <c:pt idx="21">
                  <c:v>8923.1057781735</c:v>
                </c:pt>
                <c:pt idx="22">
                  <c:v>9099.49777538811</c:v>
                </c:pt>
                <c:pt idx="23">
                  <c:v>9275.92059452053</c:v>
                </c:pt>
                <c:pt idx="24">
                  <c:v>9452.31259173514</c:v>
                </c:pt>
                <c:pt idx="25">
                  <c:v>9628.70458894975</c:v>
                </c:pt>
                <c:pt idx="26">
                  <c:v>9078.48279808217</c:v>
                </c:pt>
                <c:pt idx="27">
                  <c:v>9255.83027474884</c:v>
                </c:pt>
                <c:pt idx="28">
                  <c:v>9433.17775141551</c:v>
                </c:pt>
                <c:pt idx="29">
                  <c:v>9610.52522808217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"회수지연"</c:f>
              <c:strCache>
                <c:ptCount val="1"/>
                <c:pt idx="0">
                  <c:v>회수지연</c:v>
                </c:pt>
              </c:strCache>
            </c:strRef>
          </c:tx>
          <c:spPr>
            <a:solidFill>
              <a:srgbClr val="c30037"/>
            </a:solidFill>
            <a:ln w="21960">
              <a:solidFill>
                <a:srgbClr val="c300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CF_자금판!$E$6:$AH$6</c:f>
              <c:multiLvlStrCache>
                <c:ptCount val="1"/>
                <c:lvl>
                  <c:pt idx="0">
                    <c:v>28.12</c:v>
                  </c:pt>
                </c:lvl>
                <c:lvl>
                  <c:pt idx="0">
                    <c:v>28.11</c:v>
                  </c:pt>
                </c:lvl>
                <c:lvl>
                  <c:pt idx="0">
                    <c:v>28.10</c:v>
                  </c:pt>
                </c:lvl>
                <c:lvl>
                  <c:pt idx="0">
                    <c:v>28.09</c:v>
                  </c:pt>
                </c:lvl>
                <c:lvl>
                  <c:pt idx="0">
                    <c:v>28.08</c:v>
                  </c:pt>
                </c:lvl>
                <c:lvl>
                  <c:pt idx="0">
                    <c:v>28.07</c:v>
                  </c:pt>
                </c:lvl>
                <c:lvl>
                  <c:pt idx="0">
                    <c:v>28.06</c:v>
                  </c:pt>
                </c:lvl>
                <c:lvl>
                  <c:pt idx="0">
                    <c:v>28.05</c:v>
                  </c:pt>
                </c:lvl>
                <c:lvl>
                  <c:pt idx="0">
                    <c:v>28.04</c:v>
                  </c:pt>
                </c:lvl>
                <c:lvl>
                  <c:pt idx="0">
                    <c:v>28.03</c:v>
                  </c:pt>
                </c:lvl>
                <c:lvl>
                  <c:pt idx="0">
                    <c:v>28.02</c:v>
                  </c:pt>
                </c:lvl>
                <c:lvl>
                  <c:pt idx="0">
                    <c:v>28.01</c:v>
                  </c:pt>
                </c:lvl>
                <c:lvl>
                  <c:pt idx="0">
                    <c:v>27.12</c:v>
                  </c:pt>
                </c:lvl>
                <c:lvl>
                  <c:pt idx="0">
                    <c:v>27.11</c:v>
                  </c:pt>
                </c:lvl>
                <c:lvl>
                  <c:pt idx="0">
                    <c:v>27.10</c:v>
                  </c:pt>
                </c:lvl>
                <c:lvl>
                  <c:pt idx="0">
                    <c:v>27.09</c:v>
                  </c:pt>
                </c:lvl>
                <c:lvl>
                  <c:pt idx="0">
                    <c:v>27.08</c:v>
                  </c:pt>
                </c:lvl>
                <c:lvl>
                  <c:pt idx="0">
                    <c:v>27.07</c:v>
                  </c:pt>
                </c:lvl>
                <c:lvl>
                  <c:pt idx="0">
                    <c:v>27.06</c:v>
                  </c:pt>
                </c:lvl>
                <c:lvl>
                  <c:pt idx="0">
                    <c:v>27.05</c:v>
                  </c:pt>
                </c:lvl>
                <c:lvl>
                  <c:pt idx="0">
                    <c:v>27.04</c:v>
                  </c:pt>
                </c:lvl>
                <c:lvl>
                  <c:pt idx="0">
                    <c:v>27.03</c:v>
                  </c:pt>
                </c:lvl>
                <c:lvl>
                  <c:pt idx="0">
                    <c:v>27.02</c:v>
                  </c:pt>
                </c:lvl>
                <c:lvl>
                  <c:pt idx="0">
                    <c:v>27.01</c:v>
                  </c:pt>
                </c:lvl>
                <c:lvl>
                  <c:pt idx="0">
                    <c:v>26.12</c:v>
                  </c:pt>
                </c:lvl>
                <c:lvl>
                  <c:pt idx="0">
                    <c:v>26.11</c:v>
                  </c:pt>
                </c:lvl>
                <c:lvl>
                  <c:pt idx="0">
                    <c:v>26.10</c:v>
                  </c:pt>
                </c:lvl>
                <c:lvl>
                  <c:pt idx="0">
                    <c:v>26.09</c:v>
                  </c:pt>
                </c:lvl>
                <c:lvl>
                  <c:pt idx="0">
                    <c:v>26.08</c:v>
                  </c:pt>
                </c:lvl>
                <c:lvl>
                  <c:pt idx="0">
                    <c:v>26.07</c:v>
                  </c:pt>
                </c:lvl>
              </c:multiLvlStrCache>
            </c:multiLvlStrRef>
          </c:cat>
          <c:val>
            <c:numRef>
              <c:f>CF_자금판!$E$67:$AH$67</c:f>
              <c:numCache>
                <c:formatCode>#,##0.0;[RED]\△#,##0.0;\-</c:formatCode>
                <c:ptCount val="30"/>
                <c:pt idx="0">
                  <c:v>14222.1539166667</c:v>
                </c:pt>
                <c:pt idx="1">
                  <c:v>14399.5013933333</c:v>
                </c:pt>
                <c:pt idx="2">
                  <c:v>13850.20426</c:v>
                </c:pt>
                <c:pt idx="3">
                  <c:v>12627.2535136783</c:v>
                </c:pt>
                <c:pt idx="4">
                  <c:v>12250.1634399793</c:v>
                </c:pt>
                <c:pt idx="5">
                  <c:v>11873.0426936575</c:v>
                </c:pt>
                <c:pt idx="6">
                  <c:v>11495.9219473358</c:v>
                </c:pt>
                <c:pt idx="7">
                  <c:v>11118.8935174724</c:v>
                </c:pt>
                <c:pt idx="8">
                  <c:v>9483.15277115068</c:v>
                </c:pt>
                <c:pt idx="9">
                  <c:v>8040.31741674676</c:v>
                </c:pt>
                <c:pt idx="10">
                  <c:v>7605.79085333333</c:v>
                </c:pt>
                <c:pt idx="11">
                  <c:v>7605.79085333333</c:v>
                </c:pt>
                <c:pt idx="12">
                  <c:v>7605.79085333333</c:v>
                </c:pt>
                <c:pt idx="13">
                  <c:v>7605.79085333333</c:v>
                </c:pt>
                <c:pt idx="14">
                  <c:v>7605.79085333333</c:v>
                </c:pt>
                <c:pt idx="15">
                  <c:v>7605.79085333333</c:v>
                </c:pt>
                <c:pt idx="16">
                  <c:v>7605.79085333333</c:v>
                </c:pt>
                <c:pt idx="17">
                  <c:v>7605.79085333333</c:v>
                </c:pt>
                <c:pt idx="18">
                  <c:v>7605.79085333333</c:v>
                </c:pt>
                <c:pt idx="19">
                  <c:v>7605.79085333333</c:v>
                </c:pt>
                <c:pt idx="20">
                  <c:v>7605.79085333333</c:v>
                </c:pt>
                <c:pt idx="21">
                  <c:v>7605.79085333333</c:v>
                </c:pt>
                <c:pt idx="22">
                  <c:v>7605.79085333333</c:v>
                </c:pt>
                <c:pt idx="23">
                  <c:v>7932.62958737933</c:v>
                </c:pt>
                <c:pt idx="24">
                  <c:v>8109.02158459395</c:v>
                </c:pt>
                <c:pt idx="25">
                  <c:v>8285.41358180856</c:v>
                </c:pt>
                <c:pt idx="26">
                  <c:v>7735.19179094098</c:v>
                </c:pt>
                <c:pt idx="27">
                  <c:v>7912.53926760764</c:v>
                </c:pt>
                <c:pt idx="28">
                  <c:v>8089.88674427431</c:v>
                </c:pt>
                <c:pt idx="29">
                  <c:v>8267.23422094098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"복합위기"</c:f>
              <c:strCache>
                <c:ptCount val="1"/>
                <c:pt idx="0">
                  <c:v>복합위기</c:v>
                </c:pt>
              </c:strCache>
            </c:strRef>
          </c:tx>
          <c:spPr>
            <a:solidFill>
              <a:srgbClr val="898989"/>
            </a:solidFill>
            <a:ln w="21960">
              <a:solidFill>
                <a:srgbClr val="8989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CF_자금판!$E$6:$AH$6</c:f>
              <c:multiLvlStrCache>
                <c:ptCount val="1"/>
                <c:lvl>
                  <c:pt idx="0">
                    <c:v>28.12</c:v>
                  </c:pt>
                </c:lvl>
                <c:lvl>
                  <c:pt idx="0">
                    <c:v>28.11</c:v>
                  </c:pt>
                </c:lvl>
                <c:lvl>
                  <c:pt idx="0">
                    <c:v>28.10</c:v>
                  </c:pt>
                </c:lvl>
                <c:lvl>
                  <c:pt idx="0">
                    <c:v>28.09</c:v>
                  </c:pt>
                </c:lvl>
                <c:lvl>
                  <c:pt idx="0">
                    <c:v>28.08</c:v>
                  </c:pt>
                </c:lvl>
                <c:lvl>
                  <c:pt idx="0">
                    <c:v>28.07</c:v>
                  </c:pt>
                </c:lvl>
                <c:lvl>
                  <c:pt idx="0">
                    <c:v>28.06</c:v>
                  </c:pt>
                </c:lvl>
                <c:lvl>
                  <c:pt idx="0">
                    <c:v>28.05</c:v>
                  </c:pt>
                </c:lvl>
                <c:lvl>
                  <c:pt idx="0">
                    <c:v>28.04</c:v>
                  </c:pt>
                </c:lvl>
                <c:lvl>
                  <c:pt idx="0">
                    <c:v>28.03</c:v>
                  </c:pt>
                </c:lvl>
                <c:lvl>
                  <c:pt idx="0">
                    <c:v>28.02</c:v>
                  </c:pt>
                </c:lvl>
                <c:lvl>
                  <c:pt idx="0">
                    <c:v>28.01</c:v>
                  </c:pt>
                </c:lvl>
                <c:lvl>
                  <c:pt idx="0">
                    <c:v>27.12</c:v>
                  </c:pt>
                </c:lvl>
                <c:lvl>
                  <c:pt idx="0">
                    <c:v>27.11</c:v>
                  </c:pt>
                </c:lvl>
                <c:lvl>
                  <c:pt idx="0">
                    <c:v>27.10</c:v>
                  </c:pt>
                </c:lvl>
                <c:lvl>
                  <c:pt idx="0">
                    <c:v>27.09</c:v>
                  </c:pt>
                </c:lvl>
                <c:lvl>
                  <c:pt idx="0">
                    <c:v>27.08</c:v>
                  </c:pt>
                </c:lvl>
                <c:lvl>
                  <c:pt idx="0">
                    <c:v>27.07</c:v>
                  </c:pt>
                </c:lvl>
                <c:lvl>
                  <c:pt idx="0">
                    <c:v>27.06</c:v>
                  </c:pt>
                </c:lvl>
                <c:lvl>
                  <c:pt idx="0">
                    <c:v>27.05</c:v>
                  </c:pt>
                </c:lvl>
                <c:lvl>
                  <c:pt idx="0">
                    <c:v>27.04</c:v>
                  </c:pt>
                </c:lvl>
                <c:lvl>
                  <c:pt idx="0">
                    <c:v>27.03</c:v>
                  </c:pt>
                </c:lvl>
                <c:lvl>
                  <c:pt idx="0">
                    <c:v>27.02</c:v>
                  </c:pt>
                </c:lvl>
                <c:lvl>
                  <c:pt idx="0">
                    <c:v>27.01</c:v>
                  </c:pt>
                </c:lvl>
                <c:lvl>
                  <c:pt idx="0">
                    <c:v>26.12</c:v>
                  </c:pt>
                </c:lvl>
                <c:lvl>
                  <c:pt idx="0">
                    <c:v>26.11</c:v>
                  </c:pt>
                </c:lvl>
                <c:lvl>
                  <c:pt idx="0">
                    <c:v>26.10</c:v>
                  </c:pt>
                </c:lvl>
                <c:lvl>
                  <c:pt idx="0">
                    <c:v>26.09</c:v>
                  </c:pt>
                </c:lvl>
                <c:lvl>
                  <c:pt idx="0">
                    <c:v>26.08</c:v>
                  </c:pt>
                </c:lvl>
                <c:lvl>
                  <c:pt idx="0">
                    <c:v>26.07</c:v>
                  </c:pt>
                </c:lvl>
              </c:multiLvlStrCache>
            </c:multiLvlStrRef>
          </c:cat>
          <c:val>
            <c:numRef>
              <c:f>CF_자금판!$E$91:$AH$91</c:f>
              <c:numCache>
                <c:formatCode>#,##0.0;[RED]\△#,##0.0;\-</c:formatCode>
                <c:ptCount val="30"/>
                <c:pt idx="0">
                  <c:v>14222.1539166667</c:v>
                </c:pt>
                <c:pt idx="1">
                  <c:v>14399.5013933333</c:v>
                </c:pt>
                <c:pt idx="2">
                  <c:v>13850.20426</c:v>
                </c:pt>
                <c:pt idx="3">
                  <c:v>11997.4606208468</c:v>
                </c:pt>
                <c:pt idx="4">
                  <c:v>11066.8579529066</c:v>
                </c:pt>
                <c:pt idx="5">
                  <c:v>10136.2243137534</c:v>
                </c:pt>
                <c:pt idx="6">
                  <c:v>9205.59067460026</c:v>
                </c:pt>
                <c:pt idx="7">
                  <c:v>8275.04965049562</c:v>
                </c:pt>
                <c:pt idx="8">
                  <c:v>7605.79085333333</c:v>
                </c:pt>
                <c:pt idx="9">
                  <c:v>7605.79085333333</c:v>
                </c:pt>
                <c:pt idx="10">
                  <c:v>6511.95225706749</c:v>
                </c:pt>
                <c:pt idx="11">
                  <c:v>3278.33985079105</c:v>
                </c:pt>
                <c:pt idx="12">
                  <c:v>3327.91032532986</c:v>
                </c:pt>
                <c:pt idx="13">
                  <c:v>3377.48079986867</c:v>
                </c:pt>
                <c:pt idx="14">
                  <c:v>2700.92447262666</c:v>
                </c:pt>
                <c:pt idx="15">
                  <c:v>2750.49494716548</c:v>
                </c:pt>
                <c:pt idx="16">
                  <c:v>2800.58322992347</c:v>
                </c:pt>
                <c:pt idx="17">
                  <c:v>2850.15370446228</c:v>
                </c:pt>
                <c:pt idx="18">
                  <c:v>2899.72417900109</c:v>
                </c:pt>
                <c:pt idx="19">
                  <c:v>2950.33026997826</c:v>
                </c:pt>
                <c:pt idx="20">
                  <c:v>2399.90074451707</c:v>
                </c:pt>
                <c:pt idx="21">
                  <c:v>1384.24359727506</c:v>
                </c:pt>
                <c:pt idx="22">
                  <c:v>1433.81407181388</c:v>
                </c:pt>
                <c:pt idx="23">
                  <c:v>1483.90235457187</c:v>
                </c:pt>
                <c:pt idx="24">
                  <c:v>1533.47282911068</c:v>
                </c:pt>
                <c:pt idx="25">
                  <c:v>1583.04330364949</c:v>
                </c:pt>
                <c:pt idx="26">
                  <c:v>-3593.51302359252</c:v>
                </c:pt>
                <c:pt idx="27">
                  <c:v>-3527.89049425918</c:v>
                </c:pt>
                <c:pt idx="28">
                  <c:v>-3462.26796492585</c:v>
                </c:pt>
                <c:pt idx="29">
                  <c:v>-3396.64543559252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"최소 유동성 하한"</c:f>
              <c:strCache>
                <c:ptCount val="1"/>
                <c:pt idx="0">
                  <c:v>최소 유동성 하한</c:v>
                </c:pt>
              </c:strCache>
            </c:strRef>
          </c:tx>
          <c:spPr>
            <a:solidFill>
              <a:srgbClr val="7774b5"/>
            </a:solidFill>
            <a:ln w="15120">
              <a:solidFill>
                <a:srgbClr val="7774b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CF_자금판!$E$6:$AH$6</c:f>
              <c:multiLvlStrCache>
                <c:ptCount val="1"/>
                <c:lvl>
                  <c:pt idx="0">
                    <c:v>28.12</c:v>
                  </c:pt>
                </c:lvl>
                <c:lvl>
                  <c:pt idx="0">
                    <c:v>28.11</c:v>
                  </c:pt>
                </c:lvl>
                <c:lvl>
                  <c:pt idx="0">
                    <c:v>28.10</c:v>
                  </c:pt>
                </c:lvl>
                <c:lvl>
                  <c:pt idx="0">
                    <c:v>28.09</c:v>
                  </c:pt>
                </c:lvl>
                <c:lvl>
                  <c:pt idx="0">
                    <c:v>28.08</c:v>
                  </c:pt>
                </c:lvl>
                <c:lvl>
                  <c:pt idx="0">
                    <c:v>28.07</c:v>
                  </c:pt>
                </c:lvl>
                <c:lvl>
                  <c:pt idx="0">
                    <c:v>28.06</c:v>
                  </c:pt>
                </c:lvl>
                <c:lvl>
                  <c:pt idx="0">
                    <c:v>28.05</c:v>
                  </c:pt>
                </c:lvl>
                <c:lvl>
                  <c:pt idx="0">
                    <c:v>28.04</c:v>
                  </c:pt>
                </c:lvl>
                <c:lvl>
                  <c:pt idx="0">
                    <c:v>28.03</c:v>
                  </c:pt>
                </c:lvl>
                <c:lvl>
                  <c:pt idx="0">
                    <c:v>28.02</c:v>
                  </c:pt>
                </c:lvl>
                <c:lvl>
                  <c:pt idx="0">
                    <c:v>28.01</c:v>
                  </c:pt>
                </c:lvl>
                <c:lvl>
                  <c:pt idx="0">
                    <c:v>27.12</c:v>
                  </c:pt>
                </c:lvl>
                <c:lvl>
                  <c:pt idx="0">
                    <c:v>27.11</c:v>
                  </c:pt>
                </c:lvl>
                <c:lvl>
                  <c:pt idx="0">
                    <c:v>27.10</c:v>
                  </c:pt>
                </c:lvl>
                <c:lvl>
                  <c:pt idx="0">
                    <c:v>27.09</c:v>
                  </c:pt>
                </c:lvl>
                <c:lvl>
                  <c:pt idx="0">
                    <c:v>27.08</c:v>
                  </c:pt>
                </c:lvl>
                <c:lvl>
                  <c:pt idx="0">
                    <c:v>27.07</c:v>
                  </c:pt>
                </c:lvl>
                <c:lvl>
                  <c:pt idx="0">
                    <c:v>27.06</c:v>
                  </c:pt>
                </c:lvl>
                <c:lvl>
                  <c:pt idx="0">
                    <c:v>27.05</c:v>
                  </c:pt>
                </c:lvl>
                <c:lvl>
                  <c:pt idx="0">
                    <c:v>27.04</c:v>
                  </c:pt>
                </c:lvl>
                <c:lvl>
                  <c:pt idx="0">
                    <c:v>27.03</c:v>
                  </c:pt>
                </c:lvl>
                <c:lvl>
                  <c:pt idx="0">
                    <c:v>27.02</c:v>
                  </c:pt>
                </c:lvl>
                <c:lvl>
                  <c:pt idx="0">
                    <c:v>27.01</c:v>
                  </c:pt>
                </c:lvl>
                <c:lvl>
                  <c:pt idx="0">
                    <c:v>26.12</c:v>
                  </c:pt>
                </c:lvl>
                <c:lvl>
                  <c:pt idx="0">
                    <c:v>26.11</c:v>
                  </c:pt>
                </c:lvl>
                <c:lvl>
                  <c:pt idx="0">
                    <c:v>26.10</c:v>
                  </c:pt>
                </c:lvl>
                <c:lvl>
                  <c:pt idx="0">
                    <c:v>26.09</c:v>
                  </c:pt>
                </c:lvl>
                <c:lvl>
                  <c:pt idx="0">
                    <c:v>26.08</c:v>
                  </c:pt>
                </c:lvl>
                <c:lvl>
                  <c:pt idx="0">
                    <c:v>26.07</c:v>
                  </c:pt>
                </c:lvl>
              </c:multiLvlStrCache>
            </c:multiLvlStrRef>
          </c:cat>
          <c:val>
            <c:numRef>
              <c:f>CF_자금판!$E$21:$AH$21</c:f>
              <c:numCache>
                <c:formatCode>#,##0.0;[RED]\△#,##0.0;\-</c:formatCode>
                <c:ptCount val="30"/>
                <c:pt idx="0">
                  <c:v>7605.79085333333</c:v>
                </c:pt>
                <c:pt idx="1">
                  <c:v>7605.79085333333</c:v>
                </c:pt>
                <c:pt idx="2">
                  <c:v>7605.79085333333</c:v>
                </c:pt>
                <c:pt idx="3">
                  <c:v>7605.79085333333</c:v>
                </c:pt>
                <c:pt idx="4">
                  <c:v>7605.79085333333</c:v>
                </c:pt>
                <c:pt idx="5">
                  <c:v>7605.79085333333</c:v>
                </c:pt>
                <c:pt idx="6">
                  <c:v>7605.79085333333</c:v>
                </c:pt>
                <c:pt idx="7">
                  <c:v>7605.79085333333</c:v>
                </c:pt>
                <c:pt idx="8">
                  <c:v>7605.79085333333</c:v>
                </c:pt>
                <c:pt idx="9">
                  <c:v>7605.79085333333</c:v>
                </c:pt>
                <c:pt idx="10">
                  <c:v>7605.79085333333</c:v>
                </c:pt>
                <c:pt idx="11">
                  <c:v>7605.79085333333</c:v>
                </c:pt>
                <c:pt idx="12">
                  <c:v>7605.79085333333</c:v>
                </c:pt>
                <c:pt idx="13">
                  <c:v>7605.79085333333</c:v>
                </c:pt>
                <c:pt idx="14">
                  <c:v>7605.79085333333</c:v>
                </c:pt>
                <c:pt idx="15">
                  <c:v>7605.79085333333</c:v>
                </c:pt>
                <c:pt idx="16">
                  <c:v>7605.79085333333</c:v>
                </c:pt>
                <c:pt idx="17">
                  <c:v>7605.79085333333</c:v>
                </c:pt>
                <c:pt idx="18">
                  <c:v>7605.79085333333</c:v>
                </c:pt>
                <c:pt idx="19">
                  <c:v>7605.79085333333</c:v>
                </c:pt>
                <c:pt idx="20">
                  <c:v>7605.79085333333</c:v>
                </c:pt>
                <c:pt idx="21">
                  <c:v>7605.79085333333</c:v>
                </c:pt>
                <c:pt idx="22">
                  <c:v>7605.79085333333</c:v>
                </c:pt>
                <c:pt idx="23">
                  <c:v>7605.79085333333</c:v>
                </c:pt>
                <c:pt idx="24">
                  <c:v>7605.79085333333</c:v>
                </c:pt>
                <c:pt idx="25">
                  <c:v>7605.79085333333</c:v>
                </c:pt>
                <c:pt idx="26">
                  <c:v>7605.79085333333</c:v>
                </c:pt>
                <c:pt idx="27">
                  <c:v>7605.79085333333</c:v>
                </c:pt>
                <c:pt idx="28">
                  <c:v>7605.79085333333</c:v>
                </c:pt>
                <c:pt idx="29">
                  <c:v>7605.79085333333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703885"/>
        <c:axId val="58460773"/>
      </c:lineChart>
      <c:catAx>
        <c:axId val="82703885"/>
        <c:scaling>
          <c:orientation val="minMax"/>
        </c:scaling>
        <c:delete val="0"/>
        <c:axPos val="b"/>
        <c:numFmt formatCode="yy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60773"/>
        <c:crosses val="autoZero"/>
        <c:auto val="1"/>
        <c:lblAlgn val="ctr"/>
        <c:lblOffset val="100"/>
        <c:noMultiLvlLbl val="0"/>
      </c:catAx>
      <c:valAx>
        <c:axId val="5846077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03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134640</xdr:rowOff>
    </xdr:from>
    <xdr:to>
      <xdr:col>19</xdr:col>
      <xdr:colOff>473040</xdr:colOff>
      <xdr:row>21</xdr:row>
      <xdr:rowOff>70920</xdr:rowOff>
    </xdr:to>
    <xdr:graphicFrame>
      <xdr:nvGraphicFramePr>
        <xdr:cNvPr id="0" name="Chart 1"/>
        <xdr:cNvGraphicFramePr/>
      </xdr:nvGraphicFramePr>
      <xdr:xfrm>
        <a:off x="9915480" y="76212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art.fss.or.kr/dsaf001/main.do?rcpNo=20260814002448" TargetMode="External"/><Relationship Id="rId2" Type="http://schemas.openxmlformats.org/officeDocument/2006/relationships/hyperlink" Target="https://dart.fss.or.kr/dsaf001/main.do?rcpNo=20260911800638" TargetMode="External"/><Relationship Id="rId3" Type="http://schemas.openxmlformats.org/officeDocument/2006/relationships/hyperlink" Target="https://financialfilings.com/filings/lg-cns-co-ltd/notice-of-dividend-amount/2026/49961973/" TargetMode="External"/><Relationship Id="rId4" Type="http://schemas.openxmlformats.org/officeDocument/2006/relationships/hyperlink" Target="https://www.lgcns.com/content/dam/lgcns/resources/company/ir/investors-activity/earnings-announcement/LG%20CNS_2Q26_Earnings_KR.pdf" TargetMode="External"/><Relationship Id="rId5" Type="http://schemas.openxmlformats.org/officeDocument/2006/relationships/hyperlink" Target="https://connect.lgcns.com/kr/newsroom/press/detail.ir-2607-3" TargetMode="External"/><Relationship Id="rId6" Type="http://schemas.openxmlformats.org/officeDocument/2006/relationships/hyperlink" Target="https://connect.lgcns.com/kr/newsroom/press/detail.ax-2610-1" TargetMode="External"/><Relationship Id="rId7" Type="http://schemas.openxmlformats.org/officeDocument/2006/relationships/hyperlink" Target="https://www.ifrs.org/issued-standards/list-of-standards/ifrs-16-leas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0037"/>
    <pageSetUpPr fitToPage="false"/>
  </sheetPr>
  <dimension ref="B2:G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44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7.15" hidden="false" customHeight="false" outlineLevel="0" collapsed="false">
      <c r="B5" s="3" t="s">
        <v>2</v>
      </c>
    </row>
    <row r="6" customFormat="false" ht="1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/>
      <c r="G6" s="4"/>
    </row>
    <row r="7" customFormat="false" ht="15" hidden="false" customHeight="false" outlineLevel="0" collapsed="false">
      <c r="B7" s="5" t="s">
        <v>7</v>
      </c>
      <c r="C7" s="6" t="s">
        <v>8</v>
      </c>
      <c r="D7" s="6" t="s">
        <v>9</v>
      </c>
      <c r="E7" s="7" t="s">
        <v>10</v>
      </c>
      <c r="F7" s="7"/>
      <c r="G7" s="7"/>
    </row>
    <row r="8" customFormat="false" ht="15" hidden="false" customHeight="false" outlineLevel="0" collapsed="false">
      <c r="B8" s="8" t="s">
        <v>11</v>
      </c>
      <c r="C8" s="9" t="n">
        <f aca="false">가정!$C$61</f>
        <v>4500</v>
      </c>
      <c r="D8" s="10" t="n">
        <f aca="false">가정!$D$62</f>
        <v>0.9</v>
      </c>
      <c r="E8" s="7" t="s">
        <v>12</v>
      </c>
      <c r="F8" s="7"/>
      <c r="G8" s="7"/>
    </row>
    <row r="9" customFormat="false" ht="15" hidden="false" customHeight="false" outlineLevel="0" collapsed="false">
      <c r="B9" s="5" t="s">
        <v>13</v>
      </c>
      <c r="C9" s="11" t="n">
        <f aca="false">가정!$C$63</f>
        <v>4500</v>
      </c>
      <c r="D9" s="5" t="str">
        <f aca="false">IF(C9=C8,"일치","재검토")</f>
        <v>일치</v>
      </c>
      <c r="E9" s="7" t="s">
        <v>14</v>
      </c>
      <c r="F9" s="7"/>
      <c r="G9" s="7"/>
    </row>
    <row r="10" customFormat="false" ht="15" hidden="false" customHeight="false" outlineLevel="0" collapsed="false">
      <c r="B10" s="5" t="s">
        <v>15</v>
      </c>
      <c r="C10" s="12" t="n">
        <f aca="false">가정!$C$69</f>
        <v>46296</v>
      </c>
      <c r="D10" s="13" t="n">
        <f aca="false">가정!$C$70</f>
        <v>47026</v>
      </c>
      <c r="E10" s="7" t="s">
        <v>16</v>
      </c>
      <c r="F10" s="7"/>
      <c r="G10" s="7"/>
    </row>
    <row r="11" customFormat="false" ht="15" hidden="false" customHeight="false" outlineLevel="0" collapsed="false">
      <c r="B11" s="5" t="s">
        <v>17</v>
      </c>
      <c r="C11" s="5"/>
      <c r="D11" s="14" t="n">
        <f aca="false">가정!$D$66</f>
        <v>0.042</v>
      </c>
      <c r="E11" s="7" t="s">
        <v>18</v>
      </c>
      <c r="F11" s="7"/>
      <c r="G11" s="7"/>
    </row>
    <row r="12" customFormat="false" ht="15" hidden="false" customHeight="false" outlineLevel="0" collapsed="false">
      <c r="B12" s="5" t="s">
        <v>19</v>
      </c>
      <c r="C12" s="5"/>
      <c r="D12" s="14" t="n">
        <f aca="false">가정!$D$67</f>
        <v>0.0025</v>
      </c>
      <c r="E12" s="7" t="s">
        <v>20</v>
      </c>
      <c r="F12" s="7"/>
      <c r="G12" s="7"/>
    </row>
    <row r="13" customFormat="false" ht="15" hidden="false" customHeight="false" outlineLevel="0" collapsed="false">
      <c r="B13" s="5" t="s">
        <v>21</v>
      </c>
      <c r="C13" s="15" t="n">
        <f aca="false">가정!$C$68</f>
        <v>6.75</v>
      </c>
      <c r="D13" s="14" t="n">
        <f aca="false">가정!$D$68</f>
        <v>0.0015</v>
      </c>
      <c r="E13" s="7" t="s">
        <v>22</v>
      </c>
      <c r="F13" s="7"/>
      <c r="G13" s="7"/>
    </row>
    <row r="14" customFormat="false" ht="15" hidden="false" customHeight="false" outlineLevel="0" collapsed="false">
      <c r="B14" s="5" t="s">
        <v>23</v>
      </c>
      <c r="C14" s="11" t="n">
        <f aca="false">가정!$D$11</f>
        <v>14044.80644</v>
      </c>
      <c r="D14" s="5"/>
      <c r="E14" s="7" t="s">
        <v>24</v>
      </c>
      <c r="F14" s="7"/>
      <c r="G14" s="7"/>
    </row>
    <row r="15" customFormat="false" ht="15" hidden="false" customHeight="false" outlineLevel="0" collapsed="false">
      <c r="B15" s="5" t="s">
        <v>25</v>
      </c>
      <c r="C15" s="11" t="n">
        <f aca="false">가정!$C$57</f>
        <v>7605.79085333333</v>
      </c>
      <c r="D15" s="16" t="n">
        <f aca="false">가정!$C$56</f>
        <v>2</v>
      </c>
      <c r="E15" s="7" t="s">
        <v>26</v>
      </c>
      <c r="F15" s="7"/>
      <c r="G15" s="7"/>
    </row>
    <row r="17" customFormat="false" ht="17.15" hidden="false" customHeight="false" outlineLevel="0" collapsed="false">
      <c r="B17" s="3" t="s">
        <v>27</v>
      </c>
    </row>
    <row r="18" customFormat="false" ht="15" hidden="false" customHeight="true" outlineLevel="0" collapsed="false">
      <c r="B18" s="4" t="s">
        <v>3</v>
      </c>
      <c r="C18" s="4" t="s">
        <v>28</v>
      </c>
      <c r="D18" s="4" t="s">
        <v>29</v>
      </c>
      <c r="E18" s="4" t="s">
        <v>30</v>
      </c>
      <c r="F18" s="4" t="s">
        <v>6</v>
      </c>
      <c r="G18" s="4"/>
    </row>
    <row r="19" customFormat="false" ht="15" hidden="false" customHeight="false" outlineLevel="0" collapsed="false">
      <c r="B19" s="5" t="s">
        <v>31</v>
      </c>
      <c r="C19" s="10" t="n">
        <f aca="false">MIN(CF_자금판!$E$24:$AH$24)</f>
        <v>1</v>
      </c>
      <c r="D19" s="10" t="n">
        <f aca="false">MIN(CF_자금판!$E$48:$AH$48)</f>
        <v>0.8</v>
      </c>
      <c r="E19" s="10" t="n">
        <f aca="false">MIN(CF_자금판!$E$72:$AH$72)</f>
        <v>0.6</v>
      </c>
      <c r="F19" s="7"/>
      <c r="G19" s="7"/>
    </row>
    <row r="20" customFormat="false" ht="15" hidden="false" customHeight="false" outlineLevel="0" collapsed="false">
      <c r="B20" s="5" t="s">
        <v>32</v>
      </c>
      <c r="C20" s="17" t="n">
        <f aca="false">MAX(CF_자금판!$E$25:$AH$25)</f>
        <v>0</v>
      </c>
      <c r="D20" s="17" t="n">
        <f aca="false">MAX(CF_자금판!$E$49:$AH$49)</f>
        <v>30</v>
      </c>
      <c r="E20" s="17" t="n">
        <f aca="false">MAX(CF_자금판!$E$73:$AH$73)</f>
        <v>60</v>
      </c>
      <c r="F20" s="7"/>
      <c r="G20" s="7"/>
    </row>
    <row r="21" customFormat="false" ht="15" hidden="false" customHeight="false" outlineLevel="0" collapsed="false">
      <c r="B21" s="5" t="s">
        <v>33</v>
      </c>
      <c r="C21" s="11" t="n">
        <f aca="false">-CF_자금판!$C$29</f>
        <v>3814</v>
      </c>
      <c r="D21" s="11" t="n">
        <f aca="false">-CF_자금판!$C$53</f>
        <v>4195.4</v>
      </c>
      <c r="E21" s="11" t="n">
        <f aca="false">-CF_자금판!$C$77</f>
        <v>4576.8</v>
      </c>
      <c r="F21" s="7" t="s">
        <v>34</v>
      </c>
      <c r="G21" s="7"/>
    </row>
    <row r="22" customFormat="false" ht="15" hidden="false" customHeight="false" outlineLevel="0" collapsed="false">
      <c r="B22" s="8" t="s">
        <v>35</v>
      </c>
      <c r="C22" s="9" t="n">
        <f aca="false">CF_자금판!$D$32</f>
        <v>8947.67084666666</v>
      </c>
      <c r="D22" s="9" t="n">
        <f aca="false">CF_자금판!$D$56</f>
        <v>3841.38137928767</v>
      </c>
      <c r="E22" s="9" t="n">
        <f aca="false">CF_자금판!$D$80</f>
        <v>-3294.14086942466</v>
      </c>
      <c r="F22" s="7" t="s">
        <v>36</v>
      </c>
      <c r="G22" s="7"/>
    </row>
    <row r="23" customFormat="false" ht="15" hidden="false" customHeight="false" outlineLevel="0" collapsed="false">
      <c r="B23" s="5" t="s">
        <v>37</v>
      </c>
      <c r="C23" s="18" t="n">
        <f aca="false">INDEX(CF_자금판!$E$6:$AH$6,MATCH(CF_자금판!$D$32,CF_자금판!$E$32:$AH$32,0))</f>
        <v>46873</v>
      </c>
      <c r="D23" s="18" t="n">
        <f aca="false">INDEX(CF_자금판!$E$6:$AH$6,MATCH(CF_자금판!$D$56,CF_자금판!$E$56:$AH$56,0))</f>
        <v>46660</v>
      </c>
      <c r="E23" s="18" t="n">
        <f aca="false">INDEX(CF_자금판!$E$6:$AH$6,MATCH(CF_자금판!$D$80,CF_자금판!$E$80:$AH$80,0))</f>
        <v>47026</v>
      </c>
      <c r="F23" s="7"/>
      <c r="G23" s="7"/>
    </row>
    <row r="24" customFormat="false" ht="15" hidden="false" customHeight="false" outlineLevel="0" collapsed="false">
      <c r="B24" s="5" t="s">
        <v>38</v>
      </c>
      <c r="C24" s="11" t="n">
        <f aca="false">MAX(0,-CF_자금판!$D$33)</f>
        <v>0</v>
      </c>
      <c r="D24" s="11" t="n">
        <f aca="false">MAX(0,-CF_자금판!$D$57)</f>
        <v>3764.40947404567</v>
      </c>
      <c r="E24" s="11" t="n">
        <f aca="false">MAX(0,-CF_자금판!$D$81)</f>
        <v>10899.931722758</v>
      </c>
      <c r="F24" s="7"/>
      <c r="G24" s="7"/>
    </row>
    <row r="25" customFormat="false" ht="15" hidden="false" customHeight="false" outlineLevel="0" collapsed="false">
      <c r="B25" s="5" t="s">
        <v>39</v>
      </c>
      <c r="C25" s="18" t="str">
        <f aca="false">IF(MAX(CF_자금판!$E$38:$AH$38)&lt;0.001,"—",_xlfn.MINIFS(CF_자금판!$E$6:$AH$6,CF_자금판!$E$38:$AH$38,"&gt;0.001"))</f>
        <v>—</v>
      </c>
      <c r="D25" s="18" t="n">
        <f aca="false">IF(MAX(CF_자금판!$E$62:$AH$62)&lt;0.001,"—",_xlfn.MINIFS(CF_자금판!$E$6:$AH$6,CF_자금판!$E$62:$AH$62,"&gt;0.001"))</f>
        <v>46538</v>
      </c>
      <c r="E25" s="18" t="n">
        <f aca="false">IF(MAX(CF_자금판!$E$86:$AH$86)&lt;0.001,"—",_xlfn.MINIFS(CF_자금판!$E$6:$AH$6,CF_자금판!$E$86:$AH$86,"&gt;0.001"))</f>
        <v>46477</v>
      </c>
      <c r="F25" s="7"/>
      <c r="G25" s="7"/>
    </row>
    <row r="26" customFormat="false" ht="15" hidden="false" customHeight="false" outlineLevel="0" collapsed="false">
      <c r="B26" s="8" t="s">
        <v>40</v>
      </c>
      <c r="C26" s="9" t="n">
        <f aca="false">MAX(CF_자금판!$E$42:$AH$42)</f>
        <v>0</v>
      </c>
      <c r="D26" s="9" t="n">
        <f aca="false">MAX(CF_자금판!$E$66:$AH$66)</f>
        <v>3831.82345610845</v>
      </c>
      <c r="E26" s="9" t="n">
        <f aca="false">MAX(CF_자금판!$E$90:$AH$90)</f>
        <v>4500</v>
      </c>
      <c r="F26" s="7"/>
      <c r="G26" s="7"/>
    </row>
    <row r="27" customFormat="false" ht="15" hidden="false" customHeight="false" outlineLevel="0" collapsed="false">
      <c r="B27" s="5" t="s">
        <v>41</v>
      </c>
      <c r="C27" s="18" t="str">
        <f aca="false">IF(MAX(CF_자금판!$E$42:$AH$42)&lt;0.001,"—",INDEX(CF_자금판!$E$6:$AH$6,MATCH(MAX(CF_자금판!$E$42:$AH$42),CF_자금판!$E$42:$AH$42,0)))</f>
        <v>—</v>
      </c>
      <c r="D27" s="18" t="n">
        <f aca="false">IF(MAX(CF_자금판!$E$66:$AH$66)&lt;0.001,"—",INDEX(CF_자금판!$E$6:$AH$6,MATCH(MAX(CF_자금판!$E$66:$AH$66),CF_자금판!$E$66:$AH$66,0)))</f>
        <v>46660</v>
      </c>
      <c r="E27" s="18" t="n">
        <f aca="false">IF(MAX(CF_자금판!$E$90:$AH$90)&lt;0.001,"—",INDEX(CF_자금판!$E$6:$AH$6,MATCH(MAX(CF_자금판!$E$90:$AH$90),CF_자금판!$E$90:$AH$90,0)))</f>
        <v>46538</v>
      </c>
      <c r="F27" s="7"/>
      <c r="G27" s="7"/>
    </row>
    <row r="28" customFormat="false" ht="15" hidden="false" customHeight="false" outlineLevel="0" collapsed="false">
      <c r="B28" s="5" t="s">
        <v>42</v>
      </c>
      <c r="C28" s="10" t="n">
        <f aca="false">MAX(CF_자금판!$E$42:$AH$42)/가정!$C$61</f>
        <v>0</v>
      </c>
      <c r="D28" s="10" t="n">
        <f aca="false">MAX(CF_자금판!$E$66:$AH$66)/가정!$C$61</f>
        <v>0.851516323579655</v>
      </c>
      <c r="E28" s="10" t="n">
        <f aca="false">MAX(CF_자금판!$E$90:$AH$90)/가정!$C$61</f>
        <v>1</v>
      </c>
      <c r="F28" s="7"/>
      <c r="G28" s="7"/>
    </row>
    <row r="29" customFormat="false" ht="15" hidden="false" customHeight="false" outlineLevel="0" collapsed="false">
      <c r="B29" s="5" t="s">
        <v>43</v>
      </c>
      <c r="C29" s="18" t="str">
        <f aca="false">IF(MAX(CF_자금판!$E$42:$AH$42)&lt;0.001,"—",EOMONTH(_xlfn.MAXIFS(CF_자금판!$E$6:$AH$6,CF_자금판!$E$42:$AH$42,"&gt;0.001"),1))</f>
        <v>—</v>
      </c>
      <c r="D29" s="18" t="n">
        <f aca="false">IF(MAX(CF_자금판!$E$66:$AH$66)&lt;0.001,"—",EOMONTH(_xlfn.MAXIFS(CF_자금판!$E$6:$AH$6,CF_자금판!$E$66:$AH$66,"&gt;0.001"),1))</f>
        <v>46934</v>
      </c>
      <c r="E29" s="18" t="n">
        <f aca="false">IF(MAX(CF_자금판!$E$90:$AH$90)&lt;0.001,"—",EOMONTH(_xlfn.MAXIFS(CF_자금판!$E$6:$AH$6,CF_자금판!$E$90:$AH$90,"&gt;0.001"),1))</f>
        <v>47026</v>
      </c>
      <c r="F29" s="7" t="s">
        <v>44</v>
      </c>
      <c r="G29" s="7"/>
    </row>
    <row r="30" customFormat="false" ht="15" hidden="false" customHeight="false" outlineLevel="0" collapsed="false">
      <c r="B30" s="8" t="s">
        <v>45</v>
      </c>
      <c r="C30" s="9" t="n">
        <f aca="false">CF_자금판!$D$43</f>
        <v>8923.1057781735</v>
      </c>
      <c r="D30" s="9" t="n">
        <f aca="false">CF_자금판!$D$67</f>
        <v>7605.79085333333</v>
      </c>
      <c r="E30" s="9" t="n">
        <f aca="false">CF_자금판!$D$91</f>
        <v>-3593.51302359252</v>
      </c>
      <c r="F30" s="7"/>
      <c r="G30" s="7"/>
    </row>
    <row r="31" customFormat="false" ht="15" hidden="false" customHeight="false" outlineLevel="0" collapsed="false">
      <c r="B31" s="5" t="s">
        <v>46</v>
      </c>
      <c r="C31" s="11" t="n">
        <f aca="false">MAX(0,-CF_자금판!$D$44)</f>
        <v>0</v>
      </c>
      <c r="D31" s="11" t="n">
        <f aca="false">MAX(0,-CF_자금판!$D$68)</f>
        <v>-0</v>
      </c>
      <c r="E31" s="11" t="n">
        <f aca="false">MAX(0,-CF_자금판!$D$92)</f>
        <v>11199.3038769259</v>
      </c>
      <c r="F31" s="7" t="s">
        <v>47</v>
      </c>
      <c r="G31" s="7"/>
    </row>
    <row r="32" customFormat="false" ht="15" hidden="false" customHeight="false" outlineLevel="0" collapsed="false">
      <c r="B32" s="8" t="s">
        <v>48</v>
      </c>
      <c r="C32" s="9" t="n">
        <f aca="false">CF_자금판!$C$45</f>
        <v>29.2808219178082</v>
      </c>
      <c r="D32" s="9" t="n">
        <f aca="false">CF_자금판!$C$69</f>
        <v>153.234724059016</v>
      </c>
      <c r="E32" s="9" t="n">
        <f aca="false">CF_자금판!$C$93</f>
        <v>299.372154167856</v>
      </c>
      <c r="F32" s="7"/>
      <c r="G32" s="7"/>
    </row>
    <row r="33" customFormat="false" ht="15" hidden="false" customHeight="false" outlineLevel="0" collapsed="false">
      <c r="B33" s="5" t="s">
        <v>49</v>
      </c>
      <c r="C33" s="15" t="n">
        <f aca="false">CF_자금판!$C$20</f>
        <v>6.75</v>
      </c>
      <c r="D33" s="15" t="n">
        <f aca="false">CF_자금판!$C$20</f>
        <v>6.75</v>
      </c>
      <c r="E33" s="15" t="n">
        <f aca="false">CF_자금판!$C$20</f>
        <v>6.75</v>
      </c>
      <c r="F33" s="7"/>
      <c r="G33" s="7"/>
    </row>
    <row r="34" customFormat="false" ht="15" hidden="false" customHeight="false" outlineLevel="0" collapsed="false">
      <c r="B34" s="5" t="s">
        <v>50</v>
      </c>
      <c r="C34" s="11" t="n">
        <f aca="false">CF_자금판!$C$40</f>
        <v>22.5308219178082</v>
      </c>
      <c r="D34" s="11" t="n">
        <f aca="false">CF_자금판!$C$64</f>
        <v>14.6856382379849</v>
      </c>
      <c r="E34" s="11" t="n">
        <f aca="false">CF_자금판!$C$88</f>
        <v>5.4364338007166</v>
      </c>
      <c r="F34" s="7"/>
      <c r="G34" s="7"/>
    </row>
    <row r="35" customFormat="false" ht="15" hidden="false" customHeight="false" outlineLevel="0" collapsed="false">
      <c r="B35" s="5" t="s">
        <v>51</v>
      </c>
      <c r="C35" s="11" t="n">
        <f aca="false">CF_자금판!$C$39</f>
        <v>0</v>
      </c>
      <c r="D35" s="11" t="n">
        <f aca="false">CF_자금판!$C$63</f>
        <v>131.799085821032</v>
      </c>
      <c r="E35" s="11" t="n">
        <f aca="false">CF_자금판!$C$87</f>
        <v>287.185720367139</v>
      </c>
      <c r="F35" s="7"/>
      <c r="G35" s="7"/>
    </row>
    <row r="36" customFormat="false" ht="15" hidden="false" customHeight="false" outlineLevel="0" collapsed="false">
      <c r="B36" s="5" t="s">
        <v>52</v>
      </c>
      <c r="C36" s="11" t="n">
        <f aca="false">CF_자금판!$AH$43</f>
        <v>9610.52522808217</v>
      </c>
      <c r="D36" s="11" t="n">
        <f aca="false">CF_자금판!$AH$67</f>
        <v>8267.23422094098</v>
      </c>
      <c r="E36" s="11" t="n">
        <f aca="false">CF_자금판!$AH$91</f>
        <v>-3396.64543559252</v>
      </c>
      <c r="F36" s="7"/>
      <c r="G36" s="7"/>
    </row>
    <row r="37" customFormat="false" ht="15" hidden="false" customHeight="false" outlineLevel="0" collapsed="false">
      <c r="B37" s="19" t="s">
        <v>53</v>
      </c>
      <c r="C37" s="20" t="str">
        <f aca="false">IF(C26&lt;0.001,"한도 미인출",IF(C31&gt;0.01,"한도만으로 부족","하한 유지·상환"))</f>
        <v>한도 미인출</v>
      </c>
      <c r="D37" s="20" t="str">
        <f aca="false">IF(D26&lt;0.001,"한도 미인출",IF(D31&gt;0.01,"한도만으로 부족","하한 유지·상환"))</f>
        <v>하한 유지·상환</v>
      </c>
      <c r="E37" s="20" t="str">
        <f aca="false">IF(E26&lt;0.001,"한도 미인출",IF(E31&gt;0.01,"한도만으로 부족","하한 유지·상환"))</f>
        <v>한도만으로 부족</v>
      </c>
      <c r="F37" s="7"/>
      <c r="G37" s="7"/>
    </row>
    <row r="39" customFormat="false" ht="17.15" hidden="false" customHeight="false" outlineLevel="0" collapsed="false">
      <c r="B39" s="3" t="s">
        <v>54</v>
      </c>
    </row>
    <row r="40" customFormat="false" ht="15" hidden="false" customHeight="true" outlineLevel="0" collapsed="false">
      <c r="B40" s="4" t="s">
        <v>3</v>
      </c>
      <c r="C40" s="4" t="s">
        <v>4</v>
      </c>
      <c r="D40" s="4" t="s">
        <v>55</v>
      </c>
      <c r="E40" s="4" t="s">
        <v>56</v>
      </c>
      <c r="F40" s="4"/>
      <c r="G40" s="4"/>
    </row>
    <row r="41" customFormat="false" ht="15" hidden="false" customHeight="false" outlineLevel="0" collapsed="false">
      <c r="B41" s="5" t="s">
        <v>57</v>
      </c>
      <c r="C41" s="11" t="n">
        <f aca="false">가정!$C$61*가정!$D$66</f>
        <v>189</v>
      </c>
      <c r="D41" s="14" t="n">
        <f aca="false">가정!$D$66</f>
        <v>0.042</v>
      </c>
      <c r="E41" s="7" t="s">
        <v>58</v>
      </c>
      <c r="F41" s="7"/>
      <c r="G41" s="7"/>
    </row>
    <row r="42" customFormat="false" ht="15" hidden="false" customHeight="false" outlineLevel="0" collapsed="false">
      <c r="B42" s="5" t="s">
        <v>59</v>
      </c>
      <c r="C42" s="11" t="n">
        <f aca="false">-가정!$C$61*가정!$D$71</f>
        <v>-112.5</v>
      </c>
      <c r="D42" s="14" t="n">
        <f aca="false">가정!$D$71</f>
        <v>0.025</v>
      </c>
      <c r="E42" s="7" t="s">
        <v>60</v>
      </c>
      <c r="F42" s="7"/>
      <c r="G42" s="7"/>
    </row>
    <row r="43" customFormat="false" ht="15" hidden="false" customHeight="false" outlineLevel="0" collapsed="false">
      <c r="B43" s="5" t="s">
        <v>61</v>
      </c>
      <c r="C43" s="15" t="n">
        <f aca="false">가정!$C$68</f>
        <v>6.75</v>
      </c>
      <c r="D43" s="14"/>
      <c r="E43" s="7" t="s">
        <v>62</v>
      </c>
      <c r="F43" s="7"/>
      <c r="G43" s="7"/>
    </row>
    <row r="44" customFormat="false" ht="15" hidden="false" customHeight="false" outlineLevel="0" collapsed="false">
      <c r="B44" s="19" t="s">
        <v>63</v>
      </c>
      <c r="C44" s="21" t="n">
        <f aca="false">SUM(C41:C43)</f>
        <v>83.25</v>
      </c>
      <c r="D44" s="14"/>
      <c r="E44" s="7"/>
      <c r="F44" s="7"/>
      <c r="G44" s="7"/>
    </row>
    <row r="45" customFormat="false" ht="15" hidden="false" customHeight="false" outlineLevel="0" collapsed="false">
      <c r="B45" s="5" t="s">
        <v>64</v>
      </c>
      <c r="C45" s="11" t="n">
        <f aca="false">가정!$C$61*가정!$D$67</f>
        <v>11.25</v>
      </c>
      <c r="D45" s="14" t="n">
        <f aca="false">가정!$D$67</f>
        <v>0.0025</v>
      </c>
      <c r="E45" s="7" t="s">
        <v>65</v>
      </c>
      <c r="F45" s="7"/>
      <c r="G45" s="7"/>
    </row>
    <row r="46" customFormat="false" ht="15" hidden="false" customHeight="false" outlineLevel="0" collapsed="false">
      <c r="B46" s="5" t="s">
        <v>61</v>
      </c>
      <c r="C46" s="15" t="n">
        <f aca="false">가정!$C$68</f>
        <v>6.75</v>
      </c>
      <c r="D46" s="14"/>
      <c r="E46" s="7"/>
      <c r="F46" s="7"/>
      <c r="G46" s="7"/>
    </row>
    <row r="47" customFormat="false" ht="15" hidden="false" customHeight="false" outlineLevel="0" collapsed="false">
      <c r="B47" s="19" t="s">
        <v>66</v>
      </c>
      <c r="C47" s="21" t="n">
        <f aca="false">C45+C46</f>
        <v>18</v>
      </c>
      <c r="D47" s="14"/>
      <c r="E47" s="7"/>
      <c r="F47" s="7"/>
      <c r="G47" s="7"/>
    </row>
    <row r="48" customFormat="false" ht="15" hidden="false" customHeight="false" outlineLevel="0" collapsed="false">
      <c r="B48" s="8" t="s">
        <v>67</v>
      </c>
      <c r="C48" s="9" t="n">
        <f aca="false">C44-C47</f>
        <v>65.25</v>
      </c>
      <c r="D48" s="14"/>
      <c r="E48" s="7" t="s">
        <v>68</v>
      </c>
      <c r="F48" s="7"/>
      <c r="G48" s="7"/>
    </row>
    <row r="49" customFormat="false" ht="15" hidden="false" customHeight="false" outlineLevel="0" collapsed="false">
      <c r="B49" s="5" t="s">
        <v>69</v>
      </c>
      <c r="C49" s="11"/>
      <c r="D49" s="14" t="n">
        <f aca="false">가정!$D$66-가정!$D$71</f>
        <v>0.017</v>
      </c>
      <c r="E49" s="7" t="s">
        <v>70</v>
      </c>
      <c r="F49" s="7"/>
      <c r="G49" s="7"/>
    </row>
    <row r="50" customFormat="false" ht="15" hidden="false" customHeight="false" outlineLevel="0" collapsed="false">
      <c r="B50" s="22" t="s">
        <v>71</v>
      </c>
    </row>
    <row r="52" customFormat="false" ht="17.15" hidden="false" customHeight="false" outlineLevel="0" collapsed="false">
      <c r="B52" s="3" t="s">
        <v>72</v>
      </c>
    </row>
    <row r="53" customFormat="false" ht="15" hidden="false" customHeight="true" outlineLevel="0" collapsed="false">
      <c r="B53" s="4" t="s">
        <v>3</v>
      </c>
      <c r="C53" s="4" t="s">
        <v>4</v>
      </c>
      <c r="D53" s="4" t="s">
        <v>73</v>
      </c>
      <c r="E53" s="4" t="s">
        <v>6</v>
      </c>
      <c r="F53" s="4"/>
      <c r="G53" s="4"/>
    </row>
    <row r="54" customFormat="false" ht="15" hidden="false" customHeight="false" outlineLevel="0" collapsed="false">
      <c r="B54" s="5" t="s">
        <v>74</v>
      </c>
      <c r="C54" s="11" t="n">
        <f aca="false">가정!$C$47</f>
        <v>3814</v>
      </c>
      <c r="D54" s="23"/>
      <c r="E54" s="7"/>
      <c r="F54" s="7"/>
      <c r="G54" s="7"/>
    </row>
    <row r="55" customFormat="false" ht="15" hidden="false" customHeight="false" outlineLevel="0" collapsed="false">
      <c r="B55" s="5" t="s">
        <v>75</v>
      </c>
      <c r="C55" s="11"/>
      <c r="D55" s="24" t="n">
        <f aca="false">가정!$C$77</f>
        <v>4</v>
      </c>
      <c r="E55" s="7" t="s">
        <v>76</v>
      </c>
      <c r="F55" s="7"/>
      <c r="G55" s="7"/>
    </row>
    <row r="56" customFormat="false" ht="15" hidden="false" customHeight="false" outlineLevel="0" collapsed="false">
      <c r="B56" s="5" t="s">
        <v>77</v>
      </c>
      <c r="C56" s="11" t="n">
        <f aca="false">가정!$C$79</f>
        <v>953.5</v>
      </c>
      <c r="D56" s="23"/>
      <c r="E56" s="7" t="s">
        <v>78</v>
      </c>
      <c r="F56" s="7"/>
      <c r="G56" s="7"/>
    </row>
    <row r="57" customFormat="false" ht="15" hidden="false" customHeight="false" outlineLevel="0" collapsed="false">
      <c r="B57" s="8" t="s">
        <v>79</v>
      </c>
      <c r="C57" s="9" t="n">
        <f aca="false">가정!$C$80</f>
        <v>1151.52594818771</v>
      </c>
      <c r="D57" s="10" t="n">
        <f aca="false">가정!$D$76</f>
        <v>0.08</v>
      </c>
      <c r="E57" s="7" t="s">
        <v>80</v>
      </c>
      <c r="F57" s="7"/>
      <c r="G57" s="7"/>
    </row>
    <row r="58" customFormat="false" ht="15" hidden="false" customHeight="false" outlineLevel="0" collapsed="false">
      <c r="B58" s="5" t="s">
        <v>81</v>
      </c>
      <c r="C58" s="11" t="n">
        <f aca="false">가정!$C$81</f>
        <v>95.9604956823088</v>
      </c>
      <c r="D58" s="23"/>
      <c r="E58" s="7" t="s">
        <v>82</v>
      </c>
      <c r="F58" s="7"/>
      <c r="G58" s="7"/>
    </row>
    <row r="60" customFormat="false" ht="17.15" hidden="false" customHeight="false" outlineLevel="0" collapsed="false">
      <c r="B60" s="3" t="s">
        <v>83</v>
      </c>
    </row>
    <row r="61" customFormat="false" ht="15" hidden="false" customHeight="true" outlineLevel="0" collapsed="false">
      <c r="B61" s="4" t="s">
        <v>3</v>
      </c>
      <c r="C61" s="4" t="s">
        <v>84</v>
      </c>
      <c r="D61" s="4" t="s">
        <v>85</v>
      </c>
      <c r="E61" s="4" t="s">
        <v>86</v>
      </c>
      <c r="F61" s="4" t="s">
        <v>6</v>
      </c>
      <c r="G61" s="4"/>
    </row>
    <row r="62" customFormat="false" ht="15" hidden="false" customHeight="false" outlineLevel="0" collapsed="false">
      <c r="B62" s="5" t="s">
        <v>87</v>
      </c>
      <c r="C62" s="11" t="n">
        <f aca="false">공시원문!$F$39</f>
        <v>1598.76915</v>
      </c>
      <c r="D62" s="11" t="n">
        <f aca="false">공시원문!$F$39-IF(EOMONTH(가정!$D$45,0)&lt;=D27,가정!$C$45,0)-IF(EOMONTH(가정!$D$46,0)&lt;=D27,가정!$C$46,0)+D26</f>
        <v>4430.59260610845</v>
      </c>
      <c r="E62" s="11" t="n">
        <f aca="false">D62-C62</f>
        <v>2831.82345610845</v>
      </c>
      <c r="F62" s="7" t="s">
        <v>88</v>
      </c>
      <c r="G62" s="7"/>
    </row>
    <row r="63" customFormat="false" ht="15" hidden="false" customHeight="false" outlineLevel="0" collapsed="false">
      <c r="B63" s="5" t="s">
        <v>89</v>
      </c>
      <c r="C63" s="11" t="n">
        <f aca="false">공시원문!$F$40</f>
        <v>4029.83657</v>
      </c>
      <c r="D63" s="11" t="n">
        <f aca="false">C63</f>
        <v>4029.83657</v>
      </c>
      <c r="E63" s="11" t="n">
        <f aca="false">D63-C63</f>
        <v>0</v>
      </c>
      <c r="F63" s="7" t="s">
        <v>90</v>
      </c>
      <c r="G63" s="7"/>
    </row>
    <row r="64" customFormat="false" ht="15" hidden="false" customHeight="false" outlineLevel="0" collapsed="false">
      <c r="B64" s="5" t="s">
        <v>91</v>
      </c>
      <c r="C64" s="11" t="n">
        <f aca="false">공시원문!$F$41</f>
        <v>27010.74819</v>
      </c>
      <c r="D64" s="11" t="n">
        <f aca="false">C64</f>
        <v>27010.74819</v>
      </c>
      <c r="E64" s="11" t="n">
        <f aca="false">D64-C64</f>
        <v>0</v>
      </c>
      <c r="F64" s="7" t="s">
        <v>90</v>
      </c>
      <c r="G64" s="7"/>
    </row>
    <row r="65" customFormat="false" ht="15" hidden="false" customHeight="false" outlineLevel="0" collapsed="false">
      <c r="B65" s="8" t="s">
        <v>92</v>
      </c>
      <c r="C65" s="25" t="n">
        <f aca="false">C62/C64</f>
        <v>0.0591901097575632</v>
      </c>
      <c r="D65" s="26" t="n">
        <f aca="false">D62/D64</f>
        <v>0.16403072491523</v>
      </c>
      <c r="E65" s="27" t="n">
        <f aca="false">D65-C65</f>
        <v>0.104840615157667</v>
      </c>
      <c r="F65" s="7"/>
      <c r="G65" s="7"/>
    </row>
    <row r="66" customFormat="false" ht="15" hidden="false" customHeight="false" outlineLevel="0" collapsed="false">
      <c r="B66" s="5" t="s">
        <v>93</v>
      </c>
      <c r="C66" s="10" t="n">
        <f aca="false">(C62+C63)/C64</f>
        <v>0.208383924814191</v>
      </c>
      <c r="D66" s="10" t="n">
        <f aca="false">(D62+D63)/D64</f>
        <v>0.313224539971858</v>
      </c>
      <c r="E66" s="28" t="n">
        <f aca="false">D66-C66</f>
        <v>0.104840615157667</v>
      </c>
      <c r="F66" s="7"/>
      <c r="G66" s="7"/>
    </row>
    <row r="67" customFormat="false" ht="15" hidden="false" customHeight="false" outlineLevel="0" collapsed="false">
      <c r="B67" s="22" t="s">
        <v>94</v>
      </c>
    </row>
    <row r="69" customFormat="false" ht="17.15" hidden="false" customHeight="false" outlineLevel="0" collapsed="false">
      <c r="B69" s="3" t="s">
        <v>95</v>
      </c>
    </row>
    <row r="70" customFormat="false" ht="15" hidden="false" customHeight="false" outlineLevel="0" collapsed="false">
      <c r="B70" s="29" t="s">
        <v>96</v>
      </c>
    </row>
    <row r="71" customFormat="false" ht="15" hidden="false" customHeight="false" outlineLevel="0" collapsed="false">
      <c r="B71" s="29" t="s">
        <v>97</v>
      </c>
    </row>
    <row r="72" customFormat="false" ht="15" hidden="false" customHeight="false" outlineLevel="0" collapsed="false">
      <c r="B72" s="29" t="s">
        <v>98</v>
      </c>
    </row>
    <row r="73" customFormat="false" ht="15" hidden="false" customHeight="false" outlineLevel="0" collapsed="false">
      <c r="B73" s="29" t="s">
        <v>99</v>
      </c>
    </row>
  </sheetData>
  <mergeCells count="52"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3:G53"/>
    <mergeCell ref="E54:G54"/>
    <mergeCell ref="E55:G55"/>
    <mergeCell ref="E56:G56"/>
    <mergeCell ref="E57:G57"/>
    <mergeCell ref="E58:G58"/>
    <mergeCell ref="F61:G61"/>
    <mergeCell ref="F62:G62"/>
    <mergeCell ref="F63:G63"/>
    <mergeCell ref="F64:G64"/>
    <mergeCell ref="F65:G65"/>
    <mergeCell ref="F66:G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0037"/>
    <pageSetUpPr fitToPage="false"/>
  </sheetPr>
  <dimension ref="B2:G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30"/>
    <col collapsed="false" customWidth="true" hidden="false" outlineLevel="0" max="7" min="7" style="0" width="52"/>
  </cols>
  <sheetData>
    <row r="2" customFormat="false" ht="19.4" hidden="false" customHeight="false" outlineLevel="0" collapsed="false">
      <c r="B2" s="1" t="s">
        <v>100</v>
      </c>
    </row>
    <row r="3" customFormat="false" ht="15" hidden="false" customHeight="false" outlineLevel="0" collapsed="false">
      <c r="B3" s="2" t="s">
        <v>101</v>
      </c>
    </row>
    <row r="5" customFormat="false" ht="17.15" hidden="false" customHeight="false" outlineLevel="0" collapsed="false">
      <c r="B5" s="3" t="s">
        <v>102</v>
      </c>
    </row>
    <row r="6" customFormat="false" ht="15" hidden="false" customHeight="false" outlineLevel="0" collapsed="false">
      <c r="B6" s="4" t="s">
        <v>3</v>
      </c>
      <c r="C6" s="4" t="s">
        <v>103</v>
      </c>
      <c r="D6" s="4" t="s">
        <v>84</v>
      </c>
      <c r="E6" s="4" t="s">
        <v>86</v>
      </c>
      <c r="F6" s="4" t="s">
        <v>56</v>
      </c>
      <c r="G6" s="4" t="s">
        <v>6</v>
      </c>
    </row>
    <row r="7" customFormat="false" ht="15" hidden="false" customHeight="false" outlineLevel="0" collapsed="false">
      <c r="B7" s="5" t="s">
        <v>104</v>
      </c>
      <c r="C7" s="30" t="n">
        <f aca="false">공시원문!$F$7</f>
        <v>9767.30662</v>
      </c>
      <c r="D7" s="30" t="n">
        <f aca="false">공시원문!$F$8</f>
        <v>4044.80644</v>
      </c>
      <c r="E7" s="11" t="n">
        <f aca="false">D7-C7</f>
        <v>-5722.50018</v>
      </c>
      <c r="F7" s="5" t="s">
        <v>105</v>
      </c>
      <c r="G7" s="7" t="s">
        <v>106</v>
      </c>
    </row>
    <row r="8" customFormat="false" ht="15" hidden="false" customHeight="false" outlineLevel="0" collapsed="false">
      <c r="B8" s="5" t="s">
        <v>107</v>
      </c>
      <c r="C8" s="30" t="n">
        <f aca="false">공시원문!$F$9</f>
        <v>5000</v>
      </c>
      <c r="D8" s="30" t="n">
        <f aca="false">공시원문!$F$10</f>
        <v>10000</v>
      </c>
      <c r="E8" s="11" t="n">
        <f aca="false">D8-C8</f>
        <v>5000</v>
      </c>
      <c r="F8" s="5" t="s">
        <v>105</v>
      </c>
      <c r="G8" s="7" t="s">
        <v>108</v>
      </c>
    </row>
    <row r="9" customFormat="false" ht="15" hidden="false" customHeight="false" outlineLevel="0" collapsed="false">
      <c r="B9" s="19" t="s">
        <v>109</v>
      </c>
      <c r="C9" s="21" t="n">
        <f aca="false">C7+C8</f>
        <v>14767.30662</v>
      </c>
      <c r="D9" s="21" t="n">
        <f aca="false">D7+D8</f>
        <v>14044.80644</v>
      </c>
      <c r="E9" s="21" t="n">
        <f aca="false">D9-C9</f>
        <v>-722.500179999999</v>
      </c>
      <c r="F9" s="5" t="s">
        <v>110</v>
      </c>
      <c r="G9" s="7" t="s">
        <v>111</v>
      </c>
    </row>
    <row r="10" customFormat="false" ht="15" hidden="false" customHeight="false" outlineLevel="0" collapsed="false">
      <c r="B10" s="5" t="s">
        <v>112</v>
      </c>
      <c r="C10" s="6" t="s">
        <v>113</v>
      </c>
      <c r="D10" s="31" t="n">
        <v>0</v>
      </c>
      <c r="E10" s="5"/>
      <c r="F10" s="5" t="s">
        <v>114</v>
      </c>
      <c r="G10" s="7" t="s">
        <v>115</v>
      </c>
    </row>
    <row r="11" customFormat="false" ht="15" hidden="false" customHeight="false" outlineLevel="0" collapsed="false">
      <c r="B11" s="8" t="s">
        <v>23</v>
      </c>
      <c r="C11" s="6" t="s">
        <v>113</v>
      </c>
      <c r="D11" s="9" t="n">
        <f aca="false">D9-D10</f>
        <v>14044.80644</v>
      </c>
      <c r="E11" s="5"/>
      <c r="F11" s="5" t="s">
        <v>116</v>
      </c>
      <c r="G11" s="7" t="s">
        <v>117</v>
      </c>
    </row>
    <row r="13" customFormat="false" ht="17.15" hidden="false" customHeight="false" outlineLevel="0" collapsed="false">
      <c r="B13" s="3" t="s">
        <v>118</v>
      </c>
    </row>
    <row r="14" customFormat="false" ht="15" hidden="false" customHeight="false" outlineLevel="0" collapsed="false">
      <c r="B14" s="4" t="s">
        <v>3</v>
      </c>
      <c r="C14" s="4" t="s">
        <v>4</v>
      </c>
      <c r="D14" s="4" t="s">
        <v>119</v>
      </c>
      <c r="E14" s="4" t="s">
        <v>120</v>
      </c>
      <c r="F14" s="4" t="s">
        <v>56</v>
      </c>
      <c r="G14" s="4" t="s">
        <v>6</v>
      </c>
    </row>
    <row r="15" customFormat="false" ht="15" hidden="false" customHeight="false" outlineLevel="0" collapsed="false">
      <c r="B15" s="5" t="s">
        <v>121</v>
      </c>
      <c r="C15" s="11" t="n">
        <f aca="false">C7</f>
        <v>9767.30662</v>
      </c>
      <c r="D15" s="5"/>
      <c r="E15" s="6" t="s">
        <v>105</v>
      </c>
      <c r="F15" s="7"/>
      <c r="G15" s="7"/>
    </row>
    <row r="16" customFormat="false" ht="15" hidden="false" customHeight="false" outlineLevel="0" collapsed="false">
      <c r="B16" s="5" t="s">
        <v>122</v>
      </c>
      <c r="C16" s="30" t="n">
        <f aca="false">공시원문!$F$11</f>
        <v>3449.7158</v>
      </c>
      <c r="D16" s="5"/>
      <c r="E16" s="6" t="s">
        <v>105</v>
      </c>
      <c r="F16" s="7"/>
      <c r="G16" s="7"/>
    </row>
    <row r="17" customFormat="false" ht="15" hidden="false" customHeight="false" outlineLevel="0" collapsed="false">
      <c r="B17" s="5" t="s">
        <v>123</v>
      </c>
      <c r="C17" s="30" t="n">
        <f aca="false">공시원문!$F$12</f>
        <v>-5337.13316</v>
      </c>
      <c r="D17" s="5"/>
      <c r="E17" s="6" t="s">
        <v>105</v>
      </c>
      <c r="F17" s="7"/>
      <c r="G17" s="7"/>
    </row>
    <row r="18" customFormat="false" ht="15" hidden="false" customHeight="false" outlineLevel="0" collapsed="false">
      <c r="B18" s="5" t="s">
        <v>124</v>
      </c>
      <c r="C18" s="30" t="n">
        <f aca="false">-공시원문!$F$15</f>
        <v>-5000</v>
      </c>
      <c r="D18" s="5"/>
      <c r="E18" s="6" t="s">
        <v>105</v>
      </c>
      <c r="F18" s="7"/>
      <c r="G18" s="7" t="s">
        <v>125</v>
      </c>
    </row>
    <row r="19" customFormat="false" ht="15" hidden="false" customHeight="false" outlineLevel="0" collapsed="false">
      <c r="B19" s="5" t="s">
        <v>126</v>
      </c>
      <c r="C19" s="11" t="n">
        <f aca="false">C17-C18</f>
        <v>-337.13316</v>
      </c>
      <c r="D19" s="5"/>
      <c r="E19" s="6" t="s">
        <v>127</v>
      </c>
      <c r="F19" s="7"/>
      <c r="G19" s="7" t="s">
        <v>128</v>
      </c>
    </row>
    <row r="20" customFormat="false" ht="15" hidden="false" customHeight="false" outlineLevel="0" collapsed="false">
      <c r="B20" s="5" t="s">
        <v>129</v>
      </c>
      <c r="C20" s="30" t="n">
        <f aca="false">공시원문!$F$13</f>
        <v>-3839.25869</v>
      </c>
      <c r="D20" s="5"/>
      <c r="E20" s="6" t="s">
        <v>105</v>
      </c>
      <c r="F20" s="7"/>
      <c r="G20" s="7"/>
    </row>
    <row r="21" customFormat="false" ht="15" hidden="false" customHeight="false" outlineLevel="0" collapsed="false">
      <c r="B21" s="5" t="s">
        <v>130</v>
      </c>
      <c r="C21" s="30" t="n">
        <f aca="false">-공시원문!$F$16</f>
        <v>-2300</v>
      </c>
      <c r="D21" s="5"/>
      <c r="E21" s="6" t="s">
        <v>105</v>
      </c>
      <c r="F21" s="7"/>
      <c r="G21" s="7"/>
    </row>
    <row r="22" customFormat="false" ht="15" hidden="false" customHeight="false" outlineLevel="0" collapsed="false">
      <c r="B22" s="5" t="s">
        <v>131</v>
      </c>
      <c r="C22" s="30" t="n">
        <f aca="false">-공시원문!$F$18</f>
        <v>-1065.74543</v>
      </c>
      <c r="D22" s="5"/>
      <c r="E22" s="6" t="s">
        <v>105</v>
      </c>
      <c r="F22" s="7"/>
      <c r="G22" s="7"/>
    </row>
    <row r="23" customFormat="false" ht="15" hidden="false" customHeight="false" outlineLevel="0" collapsed="false">
      <c r="B23" s="5" t="s">
        <v>132</v>
      </c>
      <c r="C23" s="30" t="n">
        <f aca="false">-공시원문!$F$17</f>
        <v>-473.51326</v>
      </c>
      <c r="D23" s="5"/>
      <c r="E23" s="6" t="s">
        <v>105</v>
      </c>
      <c r="F23" s="7"/>
      <c r="G23" s="7"/>
    </row>
    <row r="24" customFormat="false" ht="15" hidden="false" customHeight="false" outlineLevel="0" collapsed="false">
      <c r="B24" s="5" t="s">
        <v>133</v>
      </c>
      <c r="C24" s="30" t="n">
        <f aca="false">공시원문!$F$14</f>
        <v>4.17587</v>
      </c>
      <c r="D24" s="5"/>
      <c r="E24" s="6" t="s">
        <v>105</v>
      </c>
      <c r="F24" s="7"/>
      <c r="G24" s="7"/>
    </row>
    <row r="25" customFormat="false" ht="15" hidden="false" customHeight="false" outlineLevel="0" collapsed="false">
      <c r="B25" s="19" t="s">
        <v>134</v>
      </c>
      <c r="C25" s="21" t="n">
        <f aca="false">C15+C16+C17+C20+C24</f>
        <v>4044.80644</v>
      </c>
      <c r="D25" s="5"/>
      <c r="E25" s="6" t="s">
        <v>127</v>
      </c>
      <c r="F25" s="7" t="s">
        <v>135</v>
      </c>
      <c r="G25" s="7"/>
    </row>
    <row r="26" customFormat="false" ht="15" hidden="false" customHeight="false" outlineLevel="0" collapsed="false">
      <c r="B26" s="5" t="s">
        <v>136</v>
      </c>
      <c r="C26" s="11" t="n">
        <f aca="false">D7</f>
        <v>4044.80644</v>
      </c>
      <c r="D26" s="5"/>
      <c r="E26" s="6" t="s">
        <v>105</v>
      </c>
      <c r="F26" s="7"/>
      <c r="G26" s="7"/>
    </row>
    <row r="27" customFormat="false" ht="15" hidden="false" customHeight="false" outlineLevel="0" collapsed="false">
      <c r="B27" s="5" t="s">
        <v>137</v>
      </c>
      <c r="C27" s="11" t="n">
        <f aca="false">C25-C26</f>
        <v>0</v>
      </c>
      <c r="D27" s="5"/>
      <c r="E27" s="6" t="s">
        <v>138</v>
      </c>
      <c r="F27" s="7"/>
      <c r="G27" s="7" t="s">
        <v>139</v>
      </c>
    </row>
    <row r="29" customFormat="false" ht="17.15" hidden="false" customHeight="false" outlineLevel="0" collapsed="false">
      <c r="B29" s="3" t="s">
        <v>140</v>
      </c>
    </row>
    <row r="30" customFormat="false" ht="15" hidden="false" customHeight="false" outlineLevel="0" collapsed="false">
      <c r="B30" s="4" t="s">
        <v>3</v>
      </c>
      <c r="C30" s="4" t="s">
        <v>4</v>
      </c>
      <c r="D30" s="4" t="s">
        <v>119</v>
      </c>
      <c r="E30" s="4" t="s">
        <v>120</v>
      </c>
      <c r="F30" s="4" t="s">
        <v>56</v>
      </c>
      <c r="G30" s="4" t="s">
        <v>6</v>
      </c>
    </row>
    <row r="31" customFormat="false" ht="15" hidden="false" customHeight="false" outlineLevel="0" collapsed="false">
      <c r="B31" s="5" t="s">
        <v>141</v>
      </c>
      <c r="C31" s="30" t="n">
        <f aca="false">공시원문!$F$11</f>
        <v>3449.7158</v>
      </c>
      <c r="D31" s="5"/>
      <c r="E31" s="6" t="s">
        <v>105</v>
      </c>
      <c r="F31" s="7"/>
      <c r="G31" s="7"/>
    </row>
    <row r="32" customFormat="false" ht="15" hidden="false" customHeight="false" outlineLevel="0" collapsed="false">
      <c r="B32" s="5" t="s">
        <v>142</v>
      </c>
      <c r="C32" s="30" t="n">
        <f aca="false">-공시원문!$F$21</f>
        <v>-1519.24765</v>
      </c>
      <c r="D32" s="5"/>
      <c r="E32" s="6" t="s">
        <v>105</v>
      </c>
      <c r="F32" s="7"/>
      <c r="G32" s="7" t="s">
        <v>143</v>
      </c>
    </row>
    <row r="33" customFormat="false" ht="15" hidden="false" customHeight="false" outlineLevel="0" collapsed="false">
      <c r="B33" s="5" t="s">
        <v>144</v>
      </c>
      <c r="C33" s="30" t="n">
        <f aca="false">-공시원문!$F$22</f>
        <v>-177.02275</v>
      </c>
      <c r="D33" s="5"/>
      <c r="E33" s="6" t="s">
        <v>105</v>
      </c>
      <c r="F33" s="7"/>
      <c r="G33" s="7" t="s">
        <v>145</v>
      </c>
    </row>
    <row r="34" customFormat="false" ht="15" hidden="false" customHeight="false" outlineLevel="0" collapsed="false">
      <c r="B34" s="5" t="s">
        <v>146</v>
      </c>
      <c r="C34" s="30" t="n">
        <f aca="false">-공시원문!$F$23</f>
        <v>-57.66878</v>
      </c>
      <c r="D34" s="5"/>
      <c r="E34" s="6" t="s">
        <v>105</v>
      </c>
      <c r="F34" s="7"/>
      <c r="G34" s="7"/>
    </row>
    <row r="35" customFormat="false" ht="15" hidden="false" customHeight="false" outlineLevel="0" collapsed="false">
      <c r="B35" s="5" t="s">
        <v>147</v>
      </c>
      <c r="C35" s="30" t="n">
        <f aca="false">-공시원문!$F$24</f>
        <v>-19.90241</v>
      </c>
      <c r="D35" s="5"/>
      <c r="E35" s="6" t="s">
        <v>105</v>
      </c>
      <c r="F35" s="7"/>
      <c r="G35" s="7" t="s">
        <v>148</v>
      </c>
    </row>
    <row r="36" customFormat="false" ht="15" hidden="false" customHeight="false" outlineLevel="0" collapsed="false">
      <c r="B36" s="19" t="s">
        <v>149</v>
      </c>
      <c r="C36" s="21" t="n">
        <f aca="false">SUM(C31:C35)</f>
        <v>1675.87421</v>
      </c>
      <c r="D36" s="5"/>
      <c r="E36" s="6" t="s">
        <v>127</v>
      </c>
      <c r="F36" s="7"/>
      <c r="G36" s="7" t="s">
        <v>150</v>
      </c>
    </row>
    <row r="37" customFormat="false" ht="15" hidden="false" customHeight="false" outlineLevel="0" collapsed="false">
      <c r="B37" s="8" t="s">
        <v>151</v>
      </c>
      <c r="C37" s="9" t="n">
        <f aca="false">C36/6</f>
        <v>279.312368333333</v>
      </c>
      <c r="D37" s="5"/>
      <c r="E37" s="6" t="s">
        <v>127</v>
      </c>
      <c r="F37" s="7" t="s">
        <v>152</v>
      </c>
      <c r="G37" s="7" t="s">
        <v>153</v>
      </c>
    </row>
    <row r="39" customFormat="false" ht="17.15" hidden="false" customHeight="false" outlineLevel="0" collapsed="false">
      <c r="B39" s="3" t="s">
        <v>154</v>
      </c>
    </row>
    <row r="40" customFormat="false" ht="15" hidden="false" customHeight="false" outlineLevel="0" collapsed="false">
      <c r="B40" s="4" t="s">
        <v>3</v>
      </c>
      <c r="C40" s="4" t="s">
        <v>4</v>
      </c>
      <c r="D40" s="4" t="s">
        <v>119</v>
      </c>
      <c r="E40" s="4" t="s">
        <v>120</v>
      </c>
      <c r="F40" s="4" t="s">
        <v>56</v>
      </c>
      <c r="G40" s="4" t="s">
        <v>6</v>
      </c>
    </row>
    <row r="41" customFormat="false" ht="15" hidden="false" customHeight="false" outlineLevel="0" collapsed="false">
      <c r="B41" s="5" t="s">
        <v>155</v>
      </c>
      <c r="C41" s="11" t="n">
        <f aca="false">(공시원문!$F$19+공시원문!$F$20)/6</f>
        <v>23.046015</v>
      </c>
      <c r="D41" s="5"/>
      <c r="E41" s="6" t="s">
        <v>127</v>
      </c>
      <c r="F41" s="7" t="s">
        <v>156</v>
      </c>
      <c r="G41" s="7" t="s">
        <v>157</v>
      </c>
    </row>
    <row r="42" customFormat="false" ht="15" hidden="false" customHeight="false" outlineLevel="0" collapsed="false">
      <c r="B42" s="5" t="s">
        <v>158</v>
      </c>
      <c r="C42" s="11" t="n">
        <f aca="false">공시원문!$F$17/6</f>
        <v>78.9188766666667</v>
      </c>
      <c r="D42" s="5"/>
      <c r="E42" s="6" t="s">
        <v>127</v>
      </c>
      <c r="F42" s="7" t="s">
        <v>159</v>
      </c>
      <c r="G42" s="7"/>
    </row>
    <row r="43" customFormat="false" ht="15" hidden="false" customHeight="false" outlineLevel="0" collapsed="false">
      <c r="B43" s="5" t="s">
        <v>160</v>
      </c>
      <c r="C43" s="11" t="n">
        <f aca="false">공시원문!$F$18</f>
        <v>1065.74543</v>
      </c>
      <c r="D43" s="32" t="n">
        <v>4</v>
      </c>
      <c r="E43" s="6" t="s">
        <v>161</v>
      </c>
      <c r="F43" s="7" t="s">
        <v>162</v>
      </c>
      <c r="G43" s="7" t="s">
        <v>163</v>
      </c>
    </row>
    <row r="44" customFormat="false" ht="15" hidden="false" customHeight="false" outlineLevel="0" collapsed="false">
      <c r="B44" s="5" t="s">
        <v>164</v>
      </c>
      <c r="C44" s="11" t="n">
        <f aca="false">공시원문!$F$32</f>
        <v>726.64461</v>
      </c>
      <c r="D44" s="32" t="n">
        <v>9</v>
      </c>
      <c r="E44" s="6" t="s">
        <v>165</v>
      </c>
      <c r="F44" s="7" t="s">
        <v>166</v>
      </c>
      <c r="G44" s="7" t="s">
        <v>163</v>
      </c>
    </row>
    <row r="45" customFormat="false" ht="15" hidden="false" customHeight="false" outlineLevel="0" collapsed="false">
      <c r="B45" s="5" t="s">
        <v>167</v>
      </c>
      <c r="C45" s="11" t="n">
        <f aca="false">공시원문!$F$30</f>
        <v>1000</v>
      </c>
      <c r="D45" s="33" t="n">
        <v>46521</v>
      </c>
      <c r="E45" s="6" t="s">
        <v>105</v>
      </c>
      <c r="F45" s="7" t="s">
        <v>168</v>
      </c>
      <c r="G45" s="7"/>
    </row>
    <row r="46" customFormat="false" ht="15" hidden="false" customHeight="false" outlineLevel="0" collapsed="false">
      <c r="B46" s="5" t="s">
        <v>169</v>
      </c>
      <c r="C46" s="11" t="n">
        <f aca="false">공시원문!$F$31</f>
        <v>600</v>
      </c>
      <c r="D46" s="33" t="n">
        <v>46822</v>
      </c>
      <c r="E46" s="6" t="s">
        <v>105</v>
      </c>
      <c r="F46" s="7" t="s">
        <v>168</v>
      </c>
      <c r="G46" s="7"/>
    </row>
    <row r="47" customFormat="false" ht="15" hidden="false" customHeight="false" outlineLevel="0" collapsed="false">
      <c r="B47" s="5" t="s">
        <v>170</v>
      </c>
      <c r="C47" s="11" t="n">
        <f aca="false">공시원문!$F$33</f>
        <v>3814</v>
      </c>
      <c r="D47" s="12" t="n">
        <v>46568</v>
      </c>
      <c r="E47" s="6" t="s">
        <v>105</v>
      </c>
      <c r="F47" s="7" t="s">
        <v>171</v>
      </c>
      <c r="G47" s="7" t="s">
        <v>172</v>
      </c>
    </row>
    <row r="48" customFormat="false" ht="15" hidden="false" customHeight="false" outlineLevel="0" collapsed="false">
      <c r="B48" s="5" t="s">
        <v>173</v>
      </c>
      <c r="C48" s="30" t="n">
        <f aca="false">공시원문!$F$29</f>
        <v>54492.71</v>
      </c>
      <c r="D48" s="5"/>
      <c r="E48" s="6" t="s">
        <v>105</v>
      </c>
      <c r="F48" s="7"/>
      <c r="G48" s="7"/>
    </row>
    <row r="49" customFormat="false" ht="15" hidden="false" customHeight="false" outlineLevel="0" collapsed="false">
      <c r="B49" s="5" t="s">
        <v>174</v>
      </c>
      <c r="C49" s="11" t="n">
        <f aca="false">C48/365</f>
        <v>149.295095890411</v>
      </c>
      <c r="D49" s="5"/>
      <c r="E49" s="6" t="s">
        <v>127</v>
      </c>
      <c r="F49" s="7" t="s">
        <v>175</v>
      </c>
      <c r="G49" s="7" t="s">
        <v>176</v>
      </c>
    </row>
    <row r="51" customFormat="false" ht="17.15" hidden="false" customHeight="false" outlineLevel="0" collapsed="false">
      <c r="B51" s="3" t="s">
        <v>177</v>
      </c>
    </row>
    <row r="52" customFormat="false" ht="15" hidden="false" customHeight="false" outlineLevel="0" collapsed="false">
      <c r="B52" s="4" t="s">
        <v>3</v>
      </c>
      <c r="C52" s="4" t="s">
        <v>4</v>
      </c>
      <c r="D52" s="4" t="s">
        <v>119</v>
      </c>
      <c r="E52" s="4" t="s">
        <v>120</v>
      </c>
      <c r="F52" s="4" t="s">
        <v>56</v>
      </c>
      <c r="G52" s="4" t="s">
        <v>6</v>
      </c>
    </row>
    <row r="53" customFormat="false" ht="15" hidden="false" customHeight="false" outlineLevel="0" collapsed="false">
      <c r="B53" s="5" t="s">
        <v>178</v>
      </c>
      <c r="C53" s="30" t="n">
        <f aca="false">공시원문!$F$25+공시원문!$F$26</f>
        <v>23615.56031</v>
      </c>
      <c r="D53" s="5"/>
      <c r="E53" s="6" t="s">
        <v>105</v>
      </c>
      <c r="F53" s="7"/>
      <c r="G53" s="7"/>
    </row>
    <row r="54" customFormat="false" ht="15" hidden="false" customHeight="false" outlineLevel="0" collapsed="false">
      <c r="B54" s="5" t="s">
        <v>179</v>
      </c>
      <c r="C54" s="30" t="n">
        <f aca="false">-(공시원문!$F$27+공시원문!$F$28)</f>
        <v>-798.18775</v>
      </c>
      <c r="D54" s="5"/>
      <c r="E54" s="6" t="s">
        <v>105</v>
      </c>
      <c r="F54" s="7"/>
      <c r="G54" s="7"/>
    </row>
    <row r="55" customFormat="false" ht="15" hidden="false" customHeight="false" outlineLevel="0" collapsed="false">
      <c r="B55" s="5" t="s">
        <v>180</v>
      </c>
      <c r="C55" s="11" t="n">
        <f aca="false">(C53+C54)/6</f>
        <v>3802.89542666667</v>
      </c>
      <c r="D55" s="5"/>
      <c r="E55" s="6" t="s">
        <v>127</v>
      </c>
      <c r="F55" s="7" t="s">
        <v>181</v>
      </c>
      <c r="G55" s="7"/>
    </row>
    <row r="56" customFormat="false" ht="15" hidden="false" customHeight="false" outlineLevel="0" collapsed="false">
      <c r="B56" s="5" t="s">
        <v>182</v>
      </c>
      <c r="C56" s="34" t="n">
        <v>2</v>
      </c>
      <c r="D56" s="5"/>
      <c r="E56" s="6" t="s">
        <v>161</v>
      </c>
      <c r="F56" s="7"/>
      <c r="G56" s="7" t="s">
        <v>183</v>
      </c>
    </row>
    <row r="57" customFormat="false" ht="15" hidden="false" customHeight="false" outlineLevel="0" collapsed="false">
      <c r="B57" s="8" t="s">
        <v>25</v>
      </c>
      <c r="C57" s="9" t="n">
        <f aca="false">C55*C56</f>
        <v>7605.79085333333</v>
      </c>
      <c r="D57" s="5"/>
      <c r="E57" s="6" t="s">
        <v>127</v>
      </c>
      <c r="F57" s="7" t="s">
        <v>184</v>
      </c>
      <c r="G57" s="7"/>
    </row>
    <row r="59" customFormat="false" ht="17.15" hidden="false" customHeight="false" outlineLevel="0" collapsed="false">
      <c r="B59" s="3" t="s">
        <v>185</v>
      </c>
    </row>
    <row r="60" customFormat="false" ht="15" hidden="false" customHeight="false" outlineLevel="0" collapsed="false">
      <c r="B60" s="4" t="s">
        <v>3</v>
      </c>
      <c r="C60" s="4" t="s">
        <v>4</v>
      </c>
      <c r="D60" s="4" t="s">
        <v>119</v>
      </c>
      <c r="E60" s="4" t="s">
        <v>120</v>
      </c>
      <c r="F60" s="4" t="s">
        <v>56</v>
      </c>
      <c r="G60" s="4" t="s">
        <v>6</v>
      </c>
    </row>
    <row r="61" customFormat="false" ht="15" hidden="false" customHeight="false" outlineLevel="0" collapsed="false">
      <c r="B61" s="5" t="s">
        <v>186</v>
      </c>
      <c r="C61" s="31" t="n">
        <v>4500</v>
      </c>
      <c r="D61" s="5"/>
      <c r="E61" s="6" t="s">
        <v>161</v>
      </c>
      <c r="F61" s="7" t="s">
        <v>187</v>
      </c>
      <c r="G61" s="7" t="s">
        <v>188</v>
      </c>
    </row>
    <row r="62" customFormat="false" ht="15" hidden="false" customHeight="false" outlineLevel="0" collapsed="false">
      <c r="B62" s="5" t="s">
        <v>189</v>
      </c>
      <c r="C62" s="5"/>
      <c r="D62" s="35" t="n">
        <v>0.9</v>
      </c>
      <c r="E62" s="6" t="s">
        <v>161</v>
      </c>
      <c r="F62" s="7"/>
      <c r="G62" s="7" t="s">
        <v>190</v>
      </c>
    </row>
    <row r="63" customFormat="false" ht="15" hidden="false" customHeight="false" outlineLevel="0" collapsed="false">
      <c r="B63" s="5" t="s">
        <v>13</v>
      </c>
      <c r="C63" s="11" t="n">
        <f aca="false">CEILING(MAX(CF_자금판!$E$66:$AH$66)/D62,500)</f>
        <v>4500</v>
      </c>
      <c r="D63" s="5"/>
      <c r="E63" s="6" t="s">
        <v>127</v>
      </c>
      <c r="F63" s="7" t="s">
        <v>191</v>
      </c>
      <c r="G63" s="7" t="s">
        <v>192</v>
      </c>
    </row>
    <row r="64" customFormat="false" ht="15" hidden="false" customHeight="false" outlineLevel="0" collapsed="false">
      <c r="B64" s="5" t="s">
        <v>193</v>
      </c>
      <c r="C64" s="31" t="n">
        <v>0</v>
      </c>
      <c r="D64" s="5"/>
      <c r="E64" s="6" t="s">
        <v>194</v>
      </c>
      <c r="F64" s="7"/>
      <c r="G64" s="7" t="s">
        <v>195</v>
      </c>
    </row>
    <row r="65" customFormat="false" ht="15" hidden="false" customHeight="false" outlineLevel="0" collapsed="false">
      <c r="B65" s="5" t="s">
        <v>196</v>
      </c>
      <c r="C65" s="11" t="n">
        <f aca="false">MAX(0,C61-C64)</f>
        <v>4500</v>
      </c>
      <c r="D65" s="5"/>
      <c r="E65" s="6" t="s">
        <v>127</v>
      </c>
      <c r="F65" s="7"/>
      <c r="G65" s="7"/>
    </row>
    <row r="66" customFormat="false" ht="15" hidden="false" customHeight="false" outlineLevel="0" collapsed="false">
      <c r="B66" s="5" t="s">
        <v>17</v>
      </c>
      <c r="C66" s="5"/>
      <c r="D66" s="35" t="n">
        <v>0.042</v>
      </c>
      <c r="E66" s="6" t="s">
        <v>161</v>
      </c>
      <c r="F66" s="7"/>
      <c r="G66" s="7" t="s">
        <v>197</v>
      </c>
    </row>
    <row r="67" customFormat="false" ht="15" hidden="false" customHeight="false" outlineLevel="0" collapsed="false">
      <c r="B67" s="5" t="s">
        <v>19</v>
      </c>
      <c r="C67" s="5"/>
      <c r="D67" s="35" t="n">
        <v>0.0025</v>
      </c>
      <c r="E67" s="6" t="s">
        <v>161</v>
      </c>
      <c r="F67" s="7"/>
      <c r="G67" s="7" t="s">
        <v>198</v>
      </c>
    </row>
    <row r="68" customFormat="false" ht="15" hidden="false" customHeight="false" outlineLevel="0" collapsed="false">
      <c r="B68" s="5" t="s">
        <v>199</v>
      </c>
      <c r="C68" s="15" t="n">
        <f aca="false">C65*D68</f>
        <v>6.75</v>
      </c>
      <c r="D68" s="35" t="n">
        <v>0.0015</v>
      </c>
      <c r="E68" s="6" t="s">
        <v>161</v>
      </c>
      <c r="F68" s="7" t="s">
        <v>200</v>
      </c>
      <c r="G68" s="7"/>
    </row>
    <row r="69" customFormat="false" ht="15" hidden="false" customHeight="false" outlineLevel="0" collapsed="false">
      <c r="B69" s="5" t="s">
        <v>201</v>
      </c>
      <c r="C69" s="33" t="n">
        <v>46296</v>
      </c>
      <c r="D69" s="5"/>
      <c r="E69" s="6" t="s">
        <v>161</v>
      </c>
      <c r="F69" s="7"/>
      <c r="G69" s="7" t="s">
        <v>202</v>
      </c>
    </row>
    <row r="70" customFormat="false" ht="15" hidden="false" customHeight="false" outlineLevel="0" collapsed="false">
      <c r="B70" s="5" t="s">
        <v>203</v>
      </c>
      <c r="C70" s="33" t="n">
        <v>47026</v>
      </c>
      <c r="D70" s="5"/>
      <c r="E70" s="6" t="s">
        <v>161</v>
      </c>
      <c r="F70" s="7"/>
      <c r="G70" s="7" t="s">
        <v>204</v>
      </c>
    </row>
    <row r="71" customFormat="false" ht="15" hidden="false" customHeight="false" outlineLevel="0" collapsed="false">
      <c r="B71" s="5" t="s">
        <v>205</v>
      </c>
      <c r="C71" s="5"/>
      <c r="D71" s="35" t="n">
        <v>0.025</v>
      </c>
      <c r="E71" s="6" t="s">
        <v>161</v>
      </c>
      <c r="F71" s="7"/>
      <c r="G71" s="7" t="s">
        <v>206</v>
      </c>
    </row>
    <row r="73" customFormat="false" ht="17.15" hidden="false" customHeight="false" outlineLevel="0" collapsed="false">
      <c r="B73" s="3" t="s">
        <v>207</v>
      </c>
    </row>
    <row r="74" customFormat="false" ht="15" hidden="false" customHeight="false" outlineLevel="0" collapsed="false">
      <c r="B74" s="4" t="s">
        <v>3</v>
      </c>
      <c r="C74" s="4" t="s">
        <v>4</v>
      </c>
      <c r="D74" s="4" t="s">
        <v>119</v>
      </c>
      <c r="E74" s="4" t="s">
        <v>120</v>
      </c>
      <c r="F74" s="4" t="s">
        <v>56</v>
      </c>
      <c r="G74" s="4" t="s">
        <v>6</v>
      </c>
    </row>
    <row r="75" customFormat="false" ht="15" hidden="false" customHeight="false" outlineLevel="0" collapsed="false">
      <c r="B75" s="5" t="s">
        <v>74</v>
      </c>
      <c r="C75" s="11" t="n">
        <f aca="false">C47</f>
        <v>3814</v>
      </c>
      <c r="D75" s="5"/>
      <c r="E75" s="6" t="s">
        <v>105</v>
      </c>
      <c r="F75" s="7"/>
      <c r="G75" s="7"/>
    </row>
    <row r="76" customFormat="false" ht="15" hidden="false" customHeight="false" outlineLevel="0" collapsed="false">
      <c r="B76" s="5" t="s">
        <v>208</v>
      </c>
      <c r="C76" s="5"/>
      <c r="D76" s="35" t="n">
        <v>0.08</v>
      </c>
      <c r="E76" s="6" t="s">
        <v>161</v>
      </c>
      <c r="F76" s="7"/>
      <c r="G76" s="7" t="s">
        <v>209</v>
      </c>
    </row>
    <row r="77" customFormat="false" ht="15" hidden="false" customHeight="false" outlineLevel="0" collapsed="false">
      <c r="B77" s="5" t="s">
        <v>210</v>
      </c>
      <c r="C77" s="36" t="n">
        <v>4</v>
      </c>
      <c r="D77" s="5"/>
      <c r="E77" s="6" t="s">
        <v>161</v>
      </c>
      <c r="F77" s="7"/>
      <c r="G77" s="7" t="s">
        <v>211</v>
      </c>
    </row>
    <row r="78" customFormat="false" ht="15" hidden="false" customHeight="false" outlineLevel="0" collapsed="false">
      <c r="B78" s="5" t="s">
        <v>212</v>
      </c>
      <c r="C78" s="5"/>
      <c r="D78" s="35" t="n">
        <v>0</v>
      </c>
      <c r="E78" s="6" t="s">
        <v>161</v>
      </c>
      <c r="F78" s="7"/>
      <c r="G78" s="7" t="s">
        <v>213</v>
      </c>
    </row>
    <row r="79" customFormat="false" ht="15" hidden="false" customHeight="false" outlineLevel="0" collapsed="false">
      <c r="B79" s="5" t="s">
        <v>77</v>
      </c>
      <c r="C79" s="11" t="n">
        <f aca="false">(C75-C75*D78)/C77</f>
        <v>953.5</v>
      </c>
      <c r="D79" s="5"/>
      <c r="E79" s="6" t="s">
        <v>127</v>
      </c>
      <c r="F79" s="7" t="s">
        <v>214</v>
      </c>
      <c r="G79" s="7"/>
    </row>
    <row r="80" customFormat="false" ht="15" hidden="false" customHeight="false" outlineLevel="0" collapsed="false">
      <c r="B80" s="8" t="s">
        <v>79</v>
      </c>
      <c r="C80" s="9" t="n">
        <f aca="false">IF(D76=0,C79,(C75-C75*D78/(1+D76)^C77)*D76/(1-(1+D76)^(-C77)))</f>
        <v>1151.52594818771</v>
      </c>
      <c r="D80" s="5"/>
      <c r="E80" s="6" t="s">
        <v>127</v>
      </c>
      <c r="F80" s="7" t="s">
        <v>215</v>
      </c>
      <c r="G80" s="7"/>
    </row>
    <row r="81" customFormat="false" ht="15" hidden="false" customHeight="false" outlineLevel="0" collapsed="false">
      <c r="B81" s="5" t="s">
        <v>81</v>
      </c>
      <c r="C81" s="11" t="n">
        <f aca="false">C80/12</f>
        <v>95.9604956823088</v>
      </c>
      <c r="D81" s="5"/>
      <c r="E81" s="6" t="s">
        <v>127</v>
      </c>
      <c r="F81" s="7"/>
      <c r="G81" s="7" t="s">
        <v>82</v>
      </c>
    </row>
    <row r="83" customFormat="false" ht="17.15" hidden="false" customHeight="false" outlineLevel="0" collapsed="false">
      <c r="B83" s="3" t="s">
        <v>216</v>
      </c>
    </row>
    <row r="84" customFormat="false" ht="15" hidden="false" customHeight="true" outlineLevel="0" collapsed="false">
      <c r="B84" s="4" t="s">
        <v>217</v>
      </c>
      <c r="C84" s="4" t="s">
        <v>218</v>
      </c>
      <c r="D84" s="4" t="s">
        <v>219</v>
      </c>
      <c r="E84" s="4" t="s">
        <v>220</v>
      </c>
      <c r="F84" s="4" t="s">
        <v>221</v>
      </c>
      <c r="G84" s="4"/>
    </row>
    <row r="85" customFormat="false" ht="24" hidden="false" customHeight="true" outlineLevel="0" collapsed="false">
      <c r="B85" s="19" t="s">
        <v>28</v>
      </c>
      <c r="C85" s="6" t="s">
        <v>222</v>
      </c>
      <c r="D85" s="6" t="s">
        <v>223</v>
      </c>
      <c r="E85" s="6" t="s">
        <v>224</v>
      </c>
      <c r="F85" s="37" t="s">
        <v>225</v>
      </c>
      <c r="G85" s="37"/>
    </row>
    <row r="86" customFormat="false" ht="24" hidden="false" customHeight="true" outlineLevel="0" collapsed="false">
      <c r="B86" s="19" t="s">
        <v>29</v>
      </c>
      <c r="C86" s="6" t="s">
        <v>226</v>
      </c>
      <c r="D86" s="6" t="s">
        <v>227</v>
      </c>
      <c r="E86" s="6" t="s">
        <v>228</v>
      </c>
      <c r="F86" s="37" t="s">
        <v>229</v>
      </c>
      <c r="G86" s="37"/>
    </row>
    <row r="87" customFormat="false" ht="24" hidden="false" customHeight="true" outlineLevel="0" collapsed="false">
      <c r="B87" s="19" t="s">
        <v>30</v>
      </c>
      <c r="C87" s="6" t="s">
        <v>230</v>
      </c>
      <c r="D87" s="6" t="s">
        <v>231</v>
      </c>
      <c r="E87" s="6" t="s">
        <v>232</v>
      </c>
      <c r="F87" s="37" t="s">
        <v>233</v>
      </c>
      <c r="G87" s="37"/>
    </row>
    <row r="89" customFormat="false" ht="15" hidden="false" customHeight="false" outlineLevel="0" collapsed="false">
      <c r="B89" s="22" t="s">
        <v>234</v>
      </c>
    </row>
  </sheetData>
  <mergeCells count="4">
    <mergeCell ref="F84:G84"/>
    <mergeCell ref="F85:G85"/>
    <mergeCell ref="F86:G86"/>
    <mergeCell ref="F87:G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0037"/>
    <pageSetUpPr fitToPage="false"/>
  </sheetPr>
  <dimension ref="B2:AH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34" min="5" style="0" width="8.61"/>
  </cols>
  <sheetData>
    <row r="2" customFormat="false" ht="19.4" hidden="false" customHeight="false" outlineLevel="0" collapsed="false">
      <c r="B2" s="1" t="s">
        <v>235</v>
      </c>
    </row>
    <row r="3" customFormat="false" ht="15" hidden="false" customHeight="false" outlineLevel="0" collapsed="false">
      <c r="B3" s="2" t="s">
        <v>236</v>
      </c>
    </row>
    <row r="5" customFormat="false" ht="15" hidden="false" customHeight="false" outlineLevel="0" collapsed="false">
      <c r="B5" s="38" t="s">
        <v>3</v>
      </c>
      <c r="C5" s="38"/>
      <c r="D5" s="38"/>
      <c r="E5" s="38" t="s">
        <v>237</v>
      </c>
      <c r="F5" s="38"/>
      <c r="G5" s="38"/>
      <c r="H5" s="38"/>
      <c r="I5" s="38"/>
      <c r="J5" s="38"/>
      <c r="K5" s="38" t="s">
        <v>238</v>
      </c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 t="s">
        <v>239</v>
      </c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</row>
    <row r="6" customFormat="false" ht="15" hidden="false" customHeight="false" outlineLevel="0" collapsed="false">
      <c r="B6" s="4" t="s">
        <v>240</v>
      </c>
      <c r="C6" s="4" t="s">
        <v>241</v>
      </c>
      <c r="D6" s="4" t="s">
        <v>242</v>
      </c>
      <c r="E6" s="39" t="n">
        <v>46234</v>
      </c>
      <c r="F6" s="39" t="n">
        <f aca="false">EOMONTH(E6,1)</f>
        <v>46265</v>
      </c>
      <c r="G6" s="39" t="n">
        <f aca="false">EOMONTH(F6,1)</f>
        <v>46295</v>
      </c>
      <c r="H6" s="39" t="n">
        <f aca="false">EOMONTH(G6,1)</f>
        <v>46326</v>
      </c>
      <c r="I6" s="39" t="n">
        <f aca="false">EOMONTH(H6,1)</f>
        <v>46356</v>
      </c>
      <c r="J6" s="39" t="n">
        <f aca="false">EOMONTH(I6,1)</f>
        <v>46387</v>
      </c>
      <c r="K6" s="39" t="n">
        <f aca="false">EOMONTH(J6,1)</f>
        <v>46418</v>
      </c>
      <c r="L6" s="39" t="n">
        <f aca="false">EOMONTH(K6,1)</f>
        <v>46446</v>
      </c>
      <c r="M6" s="39" t="n">
        <f aca="false">EOMONTH(L6,1)</f>
        <v>46477</v>
      </c>
      <c r="N6" s="39" t="n">
        <f aca="false">EOMONTH(M6,1)</f>
        <v>46507</v>
      </c>
      <c r="O6" s="39" t="n">
        <f aca="false">EOMONTH(N6,1)</f>
        <v>46538</v>
      </c>
      <c r="P6" s="39" t="n">
        <f aca="false">EOMONTH(O6,1)</f>
        <v>46568</v>
      </c>
      <c r="Q6" s="39" t="n">
        <f aca="false">EOMONTH(P6,1)</f>
        <v>46599</v>
      </c>
      <c r="R6" s="39" t="n">
        <f aca="false">EOMONTH(Q6,1)</f>
        <v>46630</v>
      </c>
      <c r="S6" s="39" t="n">
        <f aca="false">EOMONTH(R6,1)</f>
        <v>46660</v>
      </c>
      <c r="T6" s="39" t="n">
        <f aca="false">EOMONTH(S6,1)</f>
        <v>46691</v>
      </c>
      <c r="U6" s="39" t="n">
        <f aca="false">EOMONTH(T6,1)</f>
        <v>46721</v>
      </c>
      <c r="V6" s="39" t="n">
        <f aca="false">EOMONTH(U6,1)</f>
        <v>46752</v>
      </c>
      <c r="W6" s="39" t="n">
        <f aca="false">EOMONTH(V6,1)</f>
        <v>46783</v>
      </c>
      <c r="X6" s="39" t="n">
        <f aca="false">EOMONTH(W6,1)</f>
        <v>46812</v>
      </c>
      <c r="Y6" s="39" t="n">
        <f aca="false">EOMONTH(X6,1)</f>
        <v>46843</v>
      </c>
      <c r="Z6" s="39" t="n">
        <f aca="false">EOMONTH(Y6,1)</f>
        <v>46873</v>
      </c>
      <c r="AA6" s="39" t="n">
        <f aca="false">EOMONTH(Z6,1)</f>
        <v>46904</v>
      </c>
      <c r="AB6" s="39" t="n">
        <f aca="false">EOMONTH(AA6,1)</f>
        <v>46934</v>
      </c>
      <c r="AC6" s="39" t="n">
        <f aca="false">EOMONTH(AB6,1)</f>
        <v>46965</v>
      </c>
      <c r="AD6" s="39" t="n">
        <f aca="false">EOMONTH(AC6,1)</f>
        <v>46996</v>
      </c>
      <c r="AE6" s="39" t="n">
        <f aca="false">EOMONTH(AD6,1)</f>
        <v>47026</v>
      </c>
      <c r="AF6" s="39" t="n">
        <f aca="false">EOMONTH(AE6,1)</f>
        <v>47057</v>
      </c>
      <c r="AG6" s="39" t="n">
        <f aca="false">EOMONTH(AF6,1)</f>
        <v>47087</v>
      </c>
      <c r="AH6" s="39" t="n">
        <f aca="false">EOMONTH(AG6,1)</f>
        <v>47118</v>
      </c>
    </row>
    <row r="7" customFormat="false" ht="15" hidden="false" customHeight="false" outlineLevel="0" collapsed="false">
      <c r="B7" s="5" t="s">
        <v>243</v>
      </c>
      <c r="C7" s="40"/>
      <c r="D7" s="40"/>
      <c r="E7" s="40" t="n">
        <f aca="false">DAY(E$6)</f>
        <v>31</v>
      </c>
      <c r="F7" s="40" t="n">
        <f aca="false">DAY(F$6)</f>
        <v>31</v>
      </c>
      <c r="G7" s="40" t="n">
        <f aca="false">DAY(G$6)</f>
        <v>30</v>
      </c>
      <c r="H7" s="40" t="n">
        <f aca="false">DAY(H$6)</f>
        <v>31</v>
      </c>
      <c r="I7" s="40" t="n">
        <f aca="false">DAY(I$6)</f>
        <v>30</v>
      </c>
      <c r="J7" s="40" t="n">
        <f aca="false">DAY(J$6)</f>
        <v>31</v>
      </c>
      <c r="K7" s="40" t="n">
        <f aca="false">DAY(K$6)</f>
        <v>31</v>
      </c>
      <c r="L7" s="40" t="n">
        <f aca="false">DAY(L$6)</f>
        <v>28</v>
      </c>
      <c r="M7" s="40" t="n">
        <f aca="false">DAY(M$6)</f>
        <v>31</v>
      </c>
      <c r="N7" s="40" t="n">
        <f aca="false">DAY(N$6)</f>
        <v>30</v>
      </c>
      <c r="O7" s="40" t="n">
        <f aca="false">DAY(O$6)</f>
        <v>31</v>
      </c>
      <c r="P7" s="40" t="n">
        <f aca="false">DAY(P$6)</f>
        <v>30</v>
      </c>
      <c r="Q7" s="40" t="n">
        <f aca="false">DAY(Q$6)</f>
        <v>31</v>
      </c>
      <c r="R7" s="40" t="n">
        <f aca="false">DAY(R$6)</f>
        <v>31</v>
      </c>
      <c r="S7" s="40" t="n">
        <f aca="false">DAY(S$6)</f>
        <v>30</v>
      </c>
      <c r="T7" s="40" t="n">
        <f aca="false">DAY(T$6)</f>
        <v>31</v>
      </c>
      <c r="U7" s="40" t="n">
        <f aca="false">DAY(U$6)</f>
        <v>30</v>
      </c>
      <c r="V7" s="40" t="n">
        <f aca="false">DAY(V$6)</f>
        <v>31</v>
      </c>
      <c r="W7" s="40" t="n">
        <f aca="false">DAY(W$6)</f>
        <v>31</v>
      </c>
      <c r="X7" s="40" t="n">
        <f aca="false">DAY(X$6)</f>
        <v>29</v>
      </c>
      <c r="Y7" s="40" t="n">
        <f aca="false">DAY(Y$6)</f>
        <v>31</v>
      </c>
      <c r="Z7" s="40" t="n">
        <f aca="false">DAY(Z$6)</f>
        <v>30</v>
      </c>
      <c r="AA7" s="40" t="n">
        <f aca="false">DAY(AA$6)</f>
        <v>31</v>
      </c>
      <c r="AB7" s="40" t="n">
        <f aca="false">DAY(AB$6)</f>
        <v>30</v>
      </c>
      <c r="AC7" s="40" t="n">
        <f aca="false">DAY(AC$6)</f>
        <v>31</v>
      </c>
      <c r="AD7" s="40" t="n">
        <f aca="false">DAY(AD$6)</f>
        <v>31</v>
      </c>
      <c r="AE7" s="40" t="n">
        <f aca="false">DAY(AE$6)</f>
        <v>30</v>
      </c>
      <c r="AF7" s="40" t="n">
        <f aca="false">DAY(AF$6)</f>
        <v>31</v>
      </c>
      <c r="AG7" s="40" t="n">
        <f aca="false">DAY(AG$6)</f>
        <v>30</v>
      </c>
      <c r="AH7" s="40" t="n">
        <f aca="false">DAY(AH$6)</f>
        <v>31</v>
      </c>
    </row>
    <row r="9" customFormat="false" ht="17.15" hidden="false" customHeight="false" outlineLevel="0" collapsed="false">
      <c r="B9" s="3" t="s">
        <v>244</v>
      </c>
    </row>
    <row r="10" customFormat="false" ht="15" hidden="false" customHeight="false" outlineLevel="0" collapsed="false">
      <c r="B10" s="5" t="s">
        <v>245</v>
      </c>
      <c r="C10" s="14" t="n">
        <f aca="false">SUM(E10:AH10)</f>
        <v>1</v>
      </c>
      <c r="D10" s="10"/>
      <c r="E10" s="41" t="n">
        <v>0</v>
      </c>
      <c r="F10" s="41" t="n">
        <v>0</v>
      </c>
      <c r="G10" s="41" t="n">
        <v>0</v>
      </c>
      <c r="H10" s="41" t="n">
        <v>0.2</v>
      </c>
      <c r="I10" s="41" t="n">
        <v>0</v>
      </c>
      <c r="J10" s="41" t="n">
        <v>0</v>
      </c>
      <c r="K10" s="41" t="n">
        <v>0</v>
      </c>
      <c r="L10" s="41" t="n">
        <v>0</v>
      </c>
      <c r="M10" s="41" t="n">
        <v>0.3</v>
      </c>
      <c r="N10" s="41" t="n">
        <v>0</v>
      </c>
      <c r="O10" s="41" t="n">
        <v>0</v>
      </c>
      <c r="P10" s="41" t="n">
        <v>0.5</v>
      </c>
      <c r="Q10" s="41" t="n">
        <v>0</v>
      </c>
      <c r="R10" s="41" t="n">
        <v>0</v>
      </c>
      <c r="S10" s="41" t="n">
        <v>0</v>
      </c>
      <c r="T10" s="41" t="n">
        <v>0</v>
      </c>
      <c r="U10" s="41" t="n">
        <v>0</v>
      </c>
      <c r="V10" s="41" t="n">
        <v>0</v>
      </c>
      <c r="W10" s="41" t="n">
        <v>0</v>
      </c>
      <c r="X10" s="41" t="n">
        <v>0</v>
      </c>
      <c r="Y10" s="41" t="n">
        <v>0</v>
      </c>
      <c r="Z10" s="41" t="n">
        <v>0</v>
      </c>
      <c r="AA10" s="41" t="n">
        <v>0</v>
      </c>
      <c r="AB10" s="41" t="n">
        <v>0</v>
      </c>
      <c r="AC10" s="41" t="n">
        <v>0</v>
      </c>
      <c r="AD10" s="41" t="n">
        <v>0</v>
      </c>
      <c r="AE10" s="41" t="n">
        <v>0</v>
      </c>
      <c r="AF10" s="41" t="n">
        <v>0</v>
      </c>
      <c r="AG10" s="41" t="n">
        <v>0</v>
      </c>
      <c r="AH10" s="41" t="n">
        <v>0</v>
      </c>
    </row>
    <row r="11" customFormat="false" ht="15" hidden="false" customHeight="false" outlineLevel="0" collapsed="false">
      <c r="B11" s="5" t="s">
        <v>246</v>
      </c>
      <c r="C11" s="11" t="n">
        <f aca="false">SUM(E11:AH11)</f>
        <v>-3814</v>
      </c>
      <c r="D11" s="11"/>
      <c r="E11" s="11" t="n">
        <f aca="false">-가정!$C$47*E10</f>
        <v>-0</v>
      </c>
      <c r="F11" s="11" t="n">
        <f aca="false">-가정!$C$47*F10</f>
        <v>-0</v>
      </c>
      <c r="G11" s="11" t="n">
        <f aca="false">-가정!$C$47*G10</f>
        <v>-0</v>
      </c>
      <c r="H11" s="11" t="n">
        <f aca="false">-가정!$C$47*H10</f>
        <v>-762.8</v>
      </c>
      <c r="I11" s="11" t="n">
        <f aca="false">-가정!$C$47*I10</f>
        <v>-0</v>
      </c>
      <c r="J11" s="11" t="n">
        <f aca="false">-가정!$C$47*J10</f>
        <v>-0</v>
      </c>
      <c r="K11" s="11" t="n">
        <f aca="false">-가정!$C$47*K10</f>
        <v>-0</v>
      </c>
      <c r="L11" s="11" t="n">
        <f aca="false">-가정!$C$47*L10</f>
        <v>-0</v>
      </c>
      <c r="M11" s="11" t="n">
        <f aca="false">-가정!$C$47*M10</f>
        <v>-1144.2</v>
      </c>
      <c r="N11" s="11" t="n">
        <f aca="false">-가정!$C$47*N10</f>
        <v>-0</v>
      </c>
      <c r="O11" s="11" t="n">
        <f aca="false">-가정!$C$47*O10</f>
        <v>-0</v>
      </c>
      <c r="P11" s="11" t="n">
        <f aca="false">-가정!$C$47*P10</f>
        <v>-1907</v>
      </c>
      <c r="Q11" s="11" t="n">
        <f aca="false">-가정!$C$47*Q10</f>
        <v>-0</v>
      </c>
      <c r="R11" s="11" t="n">
        <f aca="false">-가정!$C$47*R10</f>
        <v>-0</v>
      </c>
      <c r="S11" s="11" t="n">
        <f aca="false">-가정!$C$47*S10</f>
        <v>-0</v>
      </c>
      <c r="T11" s="11" t="n">
        <f aca="false">-가정!$C$47*T10</f>
        <v>-0</v>
      </c>
      <c r="U11" s="11" t="n">
        <f aca="false">-가정!$C$47*U10</f>
        <v>-0</v>
      </c>
      <c r="V11" s="11" t="n">
        <f aca="false">-가정!$C$47*V10</f>
        <v>-0</v>
      </c>
      <c r="W11" s="11" t="n">
        <f aca="false">-가정!$C$47*W10</f>
        <v>-0</v>
      </c>
      <c r="X11" s="11" t="n">
        <f aca="false">-가정!$C$47*X10</f>
        <v>-0</v>
      </c>
      <c r="Y11" s="11" t="n">
        <f aca="false">-가정!$C$47*Y10</f>
        <v>-0</v>
      </c>
      <c r="Z11" s="11" t="n">
        <f aca="false">-가정!$C$47*Z10</f>
        <v>-0</v>
      </c>
      <c r="AA11" s="11" t="n">
        <f aca="false">-가정!$C$47*AA10</f>
        <v>-0</v>
      </c>
      <c r="AB11" s="11" t="n">
        <f aca="false">-가정!$C$47*AB10</f>
        <v>-0</v>
      </c>
      <c r="AC11" s="11" t="n">
        <f aca="false">-가정!$C$47*AC10</f>
        <v>-0</v>
      </c>
      <c r="AD11" s="11" t="n">
        <f aca="false">-가정!$C$47*AD10</f>
        <v>-0</v>
      </c>
      <c r="AE11" s="11" t="n">
        <f aca="false">-가정!$C$47*AE10</f>
        <v>-0</v>
      </c>
      <c r="AF11" s="11" t="n">
        <f aca="false">-가정!$C$47*AF10</f>
        <v>-0</v>
      </c>
      <c r="AG11" s="11" t="n">
        <f aca="false">-가정!$C$47*AG10</f>
        <v>-0</v>
      </c>
      <c r="AH11" s="11" t="n">
        <f aca="false">-가정!$C$47*AH10</f>
        <v>-0</v>
      </c>
    </row>
    <row r="12" customFormat="false" ht="15" hidden="false" customHeight="false" outlineLevel="0" collapsed="false">
      <c r="B12" s="5" t="s">
        <v>247</v>
      </c>
      <c r="C12" s="11" t="n">
        <f aca="false">SUM(E12:AH12)</f>
        <v>-691.38045</v>
      </c>
      <c r="D12" s="11"/>
      <c r="E12" s="11" t="n">
        <f aca="false">-가정!$C$41</f>
        <v>-23.046015</v>
      </c>
      <c r="F12" s="11" t="n">
        <f aca="false">-가정!$C$41</f>
        <v>-23.046015</v>
      </c>
      <c r="G12" s="11" t="n">
        <f aca="false">-가정!$C$41</f>
        <v>-23.046015</v>
      </c>
      <c r="H12" s="11" t="n">
        <f aca="false">-가정!$C$41</f>
        <v>-23.046015</v>
      </c>
      <c r="I12" s="11" t="n">
        <f aca="false">-가정!$C$41</f>
        <v>-23.046015</v>
      </c>
      <c r="J12" s="11" t="n">
        <f aca="false">-가정!$C$41</f>
        <v>-23.046015</v>
      </c>
      <c r="K12" s="11" t="n">
        <f aca="false">-가정!$C$41</f>
        <v>-23.046015</v>
      </c>
      <c r="L12" s="11" t="n">
        <f aca="false">-가정!$C$41</f>
        <v>-23.046015</v>
      </c>
      <c r="M12" s="11" t="n">
        <f aca="false">-가정!$C$41</f>
        <v>-23.046015</v>
      </c>
      <c r="N12" s="11" t="n">
        <f aca="false">-가정!$C$41</f>
        <v>-23.046015</v>
      </c>
      <c r="O12" s="11" t="n">
        <f aca="false">-가정!$C$41</f>
        <v>-23.046015</v>
      </c>
      <c r="P12" s="11" t="n">
        <f aca="false">-가정!$C$41</f>
        <v>-23.046015</v>
      </c>
      <c r="Q12" s="11" t="n">
        <f aca="false">-가정!$C$41</f>
        <v>-23.046015</v>
      </c>
      <c r="R12" s="11" t="n">
        <f aca="false">-가정!$C$41</f>
        <v>-23.046015</v>
      </c>
      <c r="S12" s="11" t="n">
        <f aca="false">-가정!$C$41</f>
        <v>-23.046015</v>
      </c>
      <c r="T12" s="11" t="n">
        <f aca="false">-가정!$C$41</f>
        <v>-23.046015</v>
      </c>
      <c r="U12" s="11" t="n">
        <f aca="false">-가정!$C$41</f>
        <v>-23.046015</v>
      </c>
      <c r="V12" s="11" t="n">
        <f aca="false">-가정!$C$41</f>
        <v>-23.046015</v>
      </c>
      <c r="W12" s="11" t="n">
        <f aca="false">-가정!$C$41</f>
        <v>-23.046015</v>
      </c>
      <c r="X12" s="11" t="n">
        <f aca="false">-가정!$C$41</f>
        <v>-23.046015</v>
      </c>
      <c r="Y12" s="11" t="n">
        <f aca="false">-가정!$C$41</f>
        <v>-23.046015</v>
      </c>
      <c r="Z12" s="11" t="n">
        <f aca="false">-가정!$C$41</f>
        <v>-23.046015</v>
      </c>
      <c r="AA12" s="11" t="n">
        <f aca="false">-가정!$C$41</f>
        <v>-23.046015</v>
      </c>
      <c r="AB12" s="11" t="n">
        <f aca="false">-가정!$C$41</f>
        <v>-23.046015</v>
      </c>
      <c r="AC12" s="11" t="n">
        <f aca="false">-가정!$C$41</f>
        <v>-23.046015</v>
      </c>
      <c r="AD12" s="11" t="n">
        <f aca="false">-가정!$C$41</f>
        <v>-23.046015</v>
      </c>
      <c r="AE12" s="11" t="n">
        <f aca="false">-가정!$C$41</f>
        <v>-23.046015</v>
      </c>
      <c r="AF12" s="11" t="n">
        <f aca="false">-가정!$C$41</f>
        <v>-23.046015</v>
      </c>
      <c r="AG12" s="11" t="n">
        <f aca="false">-가정!$C$41</f>
        <v>-23.046015</v>
      </c>
      <c r="AH12" s="11" t="n">
        <f aca="false">-가정!$C$41</f>
        <v>-23.046015</v>
      </c>
    </row>
    <row r="13" customFormat="false" ht="15" hidden="false" customHeight="false" outlineLevel="0" collapsed="false">
      <c r="B13" s="5" t="s">
        <v>248</v>
      </c>
      <c r="C13" s="11" t="n">
        <f aca="false">SUM(E13:AH13)</f>
        <v>-2367.5663</v>
      </c>
      <c r="D13" s="11"/>
      <c r="E13" s="11" t="n">
        <f aca="false">-가정!$C$42</f>
        <v>-78.9188766666667</v>
      </c>
      <c r="F13" s="11" t="n">
        <f aca="false">-가정!$C$42</f>
        <v>-78.9188766666667</v>
      </c>
      <c r="G13" s="11" t="n">
        <f aca="false">-가정!$C$42</f>
        <v>-78.9188766666667</v>
      </c>
      <c r="H13" s="11" t="n">
        <f aca="false">-가정!$C$42</f>
        <v>-78.9188766666667</v>
      </c>
      <c r="I13" s="11" t="n">
        <f aca="false">-가정!$C$42</f>
        <v>-78.9188766666667</v>
      </c>
      <c r="J13" s="11" t="n">
        <f aca="false">-가정!$C$42</f>
        <v>-78.9188766666667</v>
      </c>
      <c r="K13" s="11" t="n">
        <f aca="false">-가정!$C$42</f>
        <v>-78.9188766666667</v>
      </c>
      <c r="L13" s="11" t="n">
        <f aca="false">-가정!$C$42</f>
        <v>-78.9188766666667</v>
      </c>
      <c r="M13" s="11" t="n">
        <f aca="false">-가정!$C$42</f>
        <v>-78.9188766666667</v>
      </c>
      <c r="N13" s="11" t="n">
        <f aca="false">-가정!$C$42</f>
        <v>-78.9188766666667</v>
      </c>
      <c r="O13" s="11" t="n">
        <f aca="false">-가정!$C$42</f>
        <v>-78.9188766666667</v>
      </c>
      <c r="P13" s="11" t="n">
        <f aca="false">-가정!$C$42</f>
        <v>-78.9188766666667</v>
      </c>
      <c r="Q13" s="11" t="n">
        <f aca="false">-가정!$C$42</f>
        <v>-78.9188766666667</v>
      </c>
      <c r="R13" s="11" t="n">
        <f aca="false">-가정!$C$42</f>
        <v>-78.9188766666667</v>
      </c>
      <c r="S13" s="11" t="n">
        <f aca="false">-가정!$C$42</f>
        <v>-78.9188766666667</v>
      </c>
      <c r="T13" s="11" t="n">
        <f aca="false">-가정!$C$42</f>
        <v>-78.9188766666667</v>
      </c>
      <c r="U13" s="11" t="n">
        <f aca="false">-가정!$C$42</f>
        <v>-78.9188766666667</v>
      </c>
      <c r="V13" s="11" t="n">
        <f aca="false">-가정!$C$42</f>
        <v>-78.9188766666667</v>
      </c>
      <c r="W13" s="11" t="n">
        <f aca="false">-가정!$C$42</f>
        <v>-78.9188766666667</v>
      </c>
      <c r="X13" s="11" t="n">
        <f aca="false">-가정!$C$42</f>
        <v>-78.9188766666667</v>
      </c>
      <c r="Y13" s="11" t="n">
        <f aca="false">-가정!$C$42</f>
        <v>-78.9188766666667</v>
      </c>
      <c r="Z13" s="11" t="n">
        <f aca="false">-가정!$C$42</f>
        <v>-78.9188766666667</v>
      </c>
      <c r="AA13" s="11" t="n">
        <f aca="false">-가정!$C$42</f>
        <v>-78.9188766666667</v>
      </c>
      <c r="AB13" s="11" t="n">
        <f aca="false">-가정!$C$42</f>
        <v>-78.9188766666667</v>
      </c>
      <c r="AC13" s="11" t="n">
        <f aca="false">-가정!$C$42</f>
        <v>-78.9188766666667</v>
      </c>
      <c r="AD13" s="11" t="n">
        <f aca="false">-가정!$C$42</f>
        <v>-78.9188766666667</v>
      </c>
      <c r="AE13" s="11" t="n">
        <f aca="false">-가정!$C$42</f>
        <v>-78.9188766666667</v>
      </c>
      <c r="AF13" s="11" t="n">
        <f aca="false">-가정!$C$42</f>
        <v>-78.9188766666667</v>
      </c>
      <c r="AG13" s="11" t="n">
        <f aca="false">-가정!$C$42</f>
        <v>-78.9188766666667</v>
      </c>
      <c r="AH13" s="11" t="n">
        <f aca="false">-가정!$C$42</f>
        <v>-78.9188766666667</v>
      </c>
    </row>
    <row r="14" customFormat="false" ht="15" hidden="false" customHeight="false" outlineLevel="0" collapsed="false">
      <c r="B14" s="5" t="s">
        <v>249</v>
      </c>
      <c r="C14" s="11" t="n">
        <f aca="false">SUM(E14:AH14)</f>
        <v>-4311.42469</v>
      </c>
      <c r="D14" s="11"/>
      <c r="E14" s="11" t="n">
        <f aca="false">-(IF(MONTH(E$6)=가정!$D$44,가정!$C$44,0)+IF(MONTH(E$6)=가정!$D$43,가정!$C$43,0))</f>
        <v>-0</v>
      </c>
      <c r="F14" s="11" t="n">
        <f aca="false">-(IF(MONTH(F$6)=가정!$D$44,가정!$C$44,0)+IF(MONTH(F$6)=가정!$D$43,가정!$C$43,0))</f>
        <v>-0</v>
      </c>
      <c r="G14" s="11" t="n">
        <f aca="false">-(IF(MONTH(G$6)=가정!$D$44,가정!$C$44,0)+IF(MONTH(G$6)=가정!$D$43,가정!$C$43,0))</f>
        <v>-726.64461</v>
      </c>
      <c r="H14" s="11" t="n">
        <f aca="false">-(IF(MONTH(H$6)=가정!$D$44,가정!$C$44,0)+IF(MONTH(H$6)=가정!$D$43,가정!$C$43,0))</f>
        <v>-0</v>
      </c>
      <c r="I14" s="11" t="n">
        <f aca="false">-(IF(MONTH(I$6)=가정!$D$44,가정!$C$44,0)+IF(MONTH(I$6)=가정!$D$43,가정!$C$43,0))</f>
        <v>-0</v>
      </c>
      <c r="J14" s="11" t="n">
        <f aca="false">-(IF(MONTH(J$6)=가정!$D$44,가정!$C$44,0)+IF(MONTH(J$6)=가정!$D$43,가정!$C$43,0))</f>
        <v>-0</v>
      </c>
      <c r="K14" s="11" t="n">
        <f aca="false">-(IF(MONTH(K$6)=가정!$D$44,가정!$C$44,0)+IF(MONTH(K$6)=가정!$D$43,가정!$C$43,0))</f>
        <v>-0</v>
      </c>
      <c r="L14" s="11" t="n">
        <f aca="false">-(IF(MONTH(L$6)=가정!$D$44,가정!$C$44,0)+IF(MONTH(L$6)=가정!$D$43,가정!$C$43,0))</f>
        <v>-0</v>
      </c>
      <c r="M14" s="11" t="n">
        <f aca="false">-(IF(MONTH(M$6)=가정!$D$44,가정!$C$44,0)+IF(MONTH(M$6)=가정!$D$43,가정!$C$43,0))</f>
        <v>-0</v>
      </c>
      <c r="N14" s="11" t="n">
        <f aca="false">-(IF(MONTH(N$6)=가정!$D$44,가정!$C$44,0)+IF(MONTH(N$6)=가정!$D$43,가정!$C$43,0))</f>
        <v>-1065.74543</v>
      </c>
      <c r="O14" s="11" t="n">
        <f aca="false">-(IF(MONTH(O$6)=가정!$D$44,가정!$C$44,0)+IF(MONTH(O$6)=가정!$D$43,가정!$C$43,0))</f>
        <v>-0</v>
      </c>
      <c r="P14" s="11" t="n">
        <f aca="false">-(IF(MONTH(P$6)=가정!$D$44,가정!$C$44,0)+IF(MONTH(P$6)=가정!$D$43,가정!$C$43,0))</f>
        <v>-0</v>
      </c>
      <c r="Q14" s="11" t="n">
        <f aca="false">-(IF(MONTH(Q$6)=가정!$D$44,가정!$C$44,0)+IF(MONTH(Q$6)=가정!$D$43,가정!$C$43,0))</f>
        <v>-0</v>
      </c>
      <c r="R14" s="11" t="n">
        <f aca="false">-(IF(MONTH(R$6)=가정!$D$44,가정!$C$44,0)+IF(MONTH(R$6)=가정!$D$43,가정!$C$43,0))</f>
        <v>-0</v>
      </c>
      <c r="S14" s="11" t="n">
        <f aca="false">-(IF(MONTH(S$6)=가정!$D$44,가정!$C$44,0)+IF(MONTH(S$6)=가정!$D$43,가정!$C$43,0))</f>
        <v>-726.64461</v>
      </c>
      <c r="T14" s="11" t="n">
        <f aca="false">-(IF(MONTH(T$6)=가정!$D$44,가정!$C$44,0)+IF(MONTH(T$6)=가정!$D$43,가정!$C$43,0))</f>
        <v>-0</v>
      </c>
      <c r="U14" s="11" t="n">
        <f aca="false">-(IF(MONTH(U$6)=가정!$D$44,가정!$C$44,0)+IF(MONTH(U$6)=가정!$D$43,가정!$C$43,0))</f>
        <v>-0</v>
      </c>
      <c r="V14" s="11" t="n">
        <f aca="false">-(IF(MONTH(V$6)=가정!$D$44,가정!$C$44,0)+IF(MONTH(V$6)=가정!$D$43,가정!$C$43,0))</f>
        <v>-0</v>
      </c>
      <c r="W14" s="11" t="n">
        <f aca="false">-(IF(MONTH(W$6)=가정!$D$44,가정!$C$44,0)+IF(MONTH(W$6)=가정!$D$43,가정!$C$43,0))</f>
        <v>-0</v>
      </c>
      <c r="X14" s="11" t="n">
        <f aca="false">-(IF(MONTH(X$6)=가정!$D$44,가정!$C$44,0)+IF(MONTH(X$6)=가정!$D$43,가정!$C$43,0))</f>
        <v>-0</v>
      </c>
      <c r="Y14" s="11" t="n">
        <f aca="false">-(IF(MONTH(Y$6)=가정!$D$44,가정!$C$44,0)+IF(MONTH(Y$6)=가정!$D$43,가정!$C$43,0))</f>
        <v>-0</v>
      </c>
      <c r="Z14" s="11" t="n">
        <f aca="false">-(IF(MONTH(Z$6)=가정!$D$44,가정!$C$44,0)+IF(MONTH(Z$6)=가정!$D$43,가정!$C$43,0))</f>
        <v>-1065.74543</v>
      </c>
      <c r="AA14" s="11" t="n">
        <f aca="false">-(IF(MONTH(AA$6)=가정!$D$44,가정!$C$44,0)+IF(MONTH(AA$6)=가정!$D$43,가정!$C$43,0))</f>
        <v>-0</v>
      </c>
      <c r="AB14" s="11" t="n">
        <f aca="false">-(IF(MONTH(AB$6)=가정!$D$44,가정!$C$44,0)+IF(MONTH(AB$6)=가정!$D$43,가정!$C$43,0))</f>
        <v>-0</v>
      </c>
      <c r="AC14" s="11" t="n">
        <f aca="false">-(IF(MONTH(AC$6)=가정!$D$44,가정!$C$44,0)+IF(MONTH(AC$6)=가정!$D$43,가정!$C$43,0))</f>
        <v>-0</v>
      </c>
      <c r="AD14" s="11" t="n">
        <f aca="false">-(IF(MONTH(AD$6)=가정!$D$44,가정!$C$44,0)+IF(MONTH(AD$6)=가정!$D$43,가정!$C$43,0))</f>
        <v>-0</v>
      </c>
      <c r="AE14" s="11" t="n">
        <f aca="false">-(IF(MONTH(AE$6)=가정!$D$44,가정!$C$44,0)+IF(MONTH(AE$6)=가정!$D$43,가정!$C$43,0))</f>
        <v>-726.64461</v>
      </c>
      <c r="AF14" s="11" t="n">
        <f aca="false">-(IF(MONTH(AF$6)=가정!$D$44,가정!$C$44,0)+IF(MONTH(AF$6)=가정!$D$43,가정!$C$43,0))</f>
        <v>-0</v>
      </c>
      <c r="AG14" s="11" t="n">
        <f aca="false">-(IF(MONTH(AG$6)=가정!$D$44,가정!$C$44,0)+IF(MONTH(AG$6)=가정!$D$43,가정!$C$43,0))</f>
        <v>-0</v>
      </c>
      <c r="AH14" s="11" t="n">
        <f aca="false">-(IF(MONTH(AH$6)=가정!$D$44,가정!$C$44,0)+IF(MONTH(AH$6)=가정!$D$43,가정!$C$43,0))</f>
        <v>-0</v>
      </c>
    </row>
    <row r="15" customFormat="false" ht="15" hidden="false" customHeight="false" outlineLevel="0" collapsed="false">
      <c r="B15" s="5" t="s">
        <v>250</v>
      </c>
      <c r="C15" s="11" t="n">
        <f aca="false">SUM(E15:AH15)</f>
        <v>-1600</v>
      </c>
      <c r="D15" s="11"/>
      <c r="E15" s="11" t="n">
        <f aca="false">-(IF(EOMONTH(가정!$D$45,0)=E$6,가정!$C$45,0)+IF(EOMONTH(가정!$D$46,0)=E$6,가정!$C$46,0))</f>
        <v>-0</v>
      </c>
      <c r="F15" s="11" t="n">
        <f aca="false">-(IF(EOMONTH(가정!$D$45,0)=F$6,가정!$C$45,0)+IF(EOMONTH(가정!$D$46,0)=F$6,가정!$C$46,0))</f>
        <v>-0</v>
      </c>
      <c r="G15" s="11" t="n">
        <f aca="false">-(IF(EOMONTH(가정!$D$45,0)=G$6,가정!$C$45,0)+IF(EOMONTH(가정!$D$46,0)=G$6,가정!$C$46,0))</f>
        <v>-0</v>
      </c>
      <c r="H15" s="11" t="n">
        <f aca="false">-(IF(EOMONTH(가정!$D$45,0)=H$6,가정!$C$45,0)+IF(EOMONTH(가정!$D$46,0)=H$6,가정!$C$46,0))</f>
        <v>-0</v>
      </c>
      <c r="I15" s="11" t="n">
        <f aca="false">-(IF(EOMONTH(가정!$D$45,0)=I$6,가정!$C$45,0)+IF(EOMONTH(가정!$D$46,0)=I$6,가정!$C$46,0))</f>
        <v>-0</v>
      </c>
      <c r="J15" s="11" t="n">
        <f aca="false">-(IF(EOMONTH(가정!$D$45,0)=J$6,가정!$C$45,0)+IF(EOMONTH(가정!$D$46,0)=J$6,가정!$C$46,0))</f>
        <v>-0</v>
      </c>
      <c r="K15" s="11" t="n">
        <f aca="false">-(IF(EOMONTH(가정!$D$45,0)=K$6,가정!$C$45,0)+IF(EOMONTH(가정!$D$46,0)=K$6,가정!$C$46,0))</f>
        <v>-0</v>
      </c>
      <c r="L15" s="11" t="n">
        <f aca="false">-(IF(EOMONTH(가정!$D$45,0)=L$6,가정!$C$45,0)+IF(EOMONTH(가정!$D$46,0)=L$6,가정!$C$46,0))</f>
        <v>-0</v>
      </c>
      <c r="M15" s="11" t="n">
        <f aca="false">-(IF(EOMONTH(가정!$D$45,0)=M$6,가정!$C$45,0)+IF(EOMONTH(가정!$D$46,0)=M$6,가정!$C$46,0))</f>
        <v>-0</v>
      </c>
      <c r="N15" s="11" t="n">
        <f aca="false">-(IF(EOMONTH(가정!$D$45,0)=N$6,가정!$C$45,0)+IF(EOMONTH(가정!$D$46,0)=N$6,가정!$C$46,0))</f>
        <v>-0</v>
      </c>
      <c r="O15" s="11" t="n">
        <f aca="false">-(IF(EOMONTH(가정!$D$45,0)=O$6,가정!$C$45,0)+IF(EOMONTH(가정!$D$46,0)=O$6,가정!$C$46,0))</f>
        <v>-1000</v>
      </c>
      <c r="P15" s="11" t="n">
        <f aca="false">-(IF(EOMONTH(가정!$D$45,0)=P$6,가정!$C$45,0)+IF(EOMONTH(가정!$D$46,0)=P$6,가정!$C$46,0))</f>
        <v>-0</v>
      </c>
      <c r="Q15" s="11" t="n">
        <f aca="false">-(IF(EOMONTH(가정!$D$45,0)=Q$6,가정!$C$45,0)+IF(EOMONTH(가정!$D$46,0)=Q$6,가정!$C$46,0))</f>
        <v>-0</v>
      </c>
      <c r="R15" s="11" t="n">
        <f aca="false">-(IF(EOMONTH(가정!$D$45,0)=R$6,가정!$C$45,0)+IF(EOMONTH(가정!$D$46,0)=R$6,가정!$C$46,0))</f>
        <v>-0</v>
      </c>
      <c r="S15" s="11" t="n">
        <f aca="false">-(IF(EOMONTH(가정!$D$45,0)=S$6,가정!$C$45,0)+IF(EOMONTH(가정!$D$46,0)=S$6,가정!$C$46,0))</f>
        <v>-0</v>
      </c>
      <c r="T15" s="11" t="n">
        <f aca="false">-(IF(EOMONTH(가정!$D$45,0)=T$6,가정!$C$45,0)+IF(EOMONTH(가정!$D$46,0)=T$6,가정!$C$46,0))</f>
        <v>-0</v>
      </c>
      <c r="U15" s="11" t="n">
        <f aca="false">-(IF(EOMONTH(가정!$D$45,0)=U$6,가정!$C$45,0)+IF(EOMONTH(가정!$D$46,0)=U$6,가정!$C$46,0))</f>
        <v>-0</v>
      </c>
      <c r="V15" s="11" t="n">
        <f aca="false">-(IF(EOMONTH(가정!$D$45,0)=V$6,가정!$C$45,0)+IF(EOMONTH(가정!$D$46,0)=V$6,가정!$C$46,0))</f>
        <v>-0</v>
      </c>
      <c r="W15" s="11" t="n">
        <f aca="false">-(IF(EOMONTH(가정!$D$45,0)=W$6,가정!$C$45,0)+IF(EOMONTH(가정!$D$46,0)=W$6,가정!$C$46,0))</f>
        <v>-0</v>
      </c>
      <c r="X15" s="11" t="n">
        <f aca="false">-(IF(EOMONTH(가정!$D$45,0)=X$6,가정!$C$45,0)+IF(EOMONTH(가정!$D$46,0)=X$6,가정!$C$46,0))</f>
        <v>-0</v>
      </c>
      <c r="Y15" s="11" t="n">
        <f aca="false">-(IF(EOMONTH(가정!$D$45,0)=Y$6,가정!$C$45,0)+IF(EOMONTH(가정!$D$46,0)=Y$6,가정!$C$46,0))</f>
        <v>-600</v>
      </c>
      <c r="Z15" s="11" t="n">
        <f aca="false">-(IF(EOMONTH(가정!$D$45,0)=Z$6,가정!$C$45,0)+IF(EOMONTH(가정!$D$46,0)=Z$6,가정!$C$46,0))</f>
        <v>-0</v>
      </c>
      <c r="AA15" s="11" t="n">
        <f aca="false">-(IF(EOMONTH(가정!$D$45,0)=AA$6,가정!$C$45,0)+IF(EOMONTH(가정!$D$46,0)=AA$6,가정!$C$46,0))</f>
        <v>-0</v>
      </c>
      <c r="AB15" s="11" t="n">
        <f aca="false">-(IF(EOMONTH(가정!$D$45,0)=AB$6,가정!$C$45,0)+IF(EOMONTH(가정!$D$46,0)=AB$6,가정!$C$46,0))</f>
        <v>-0</v>
      </c>
      <c r="AC15" s="11" t="n">
        <f aca="false">-(IF(EOMONTH(가정!$D$45,0)=AC$6,가정!$C$45,0)+IF(EOMONTH(가정!$D$46,0)=AC$6,가정!$C$46,0))</f>
        <v>-0</v>
      </c>
      <c r="AD15" s="11" t="n">
        <f aca="false">-(IF(EOMONTH(가정!$D$45,0)=AD$6,가정!$C$45,0)+IF(EOMONTH(가정!$D$46,0)=AD$6,가정!$C$46,0))</f>
        <v>-0</v>
      </c>
      <c r="AE15" s="11" t="n">
        <f aca="false">-(IF(EOMONTH(가정!$D$45,0)=AE$6,가정!$C$45,0)+IF(EOMONTH(가정!$D$46,0)=AE$6,가정!$C$46,0))</f>
        <v>-0</v>
      </c>
      <c r="AF15" s="11" t="n">
        <f aca="false">-(IF(EOMONTH(가정!$D$45,0)=AF$6,가정!$C$45,0)+IF(EOMONTH(가정!$D$46,0)=AF$6,가정!$C$46,0))</f>
        <v>-0</v>
      </c>
      <c r="AG15" s="11" t="n">
        <f aca="false">-(IF(EOMONTH(가정!$D$45,0)=AG$6,가정!$C$45,0)+IF(EOMONTH(가정!$D$46,0)=AG$6,가정!$C$46,0))</f>
        <v>-0</v>
      </c>
      <c r="AH15" s="11" t="n">
        <f aca="false">-(IF(EOMONTH(가정!$D$45,0)=AH$6,가정!$C$45,0)+IF(EOMONTH(가정!$D$46,0)=AH$6,가정!$C$46,0))</f>
        <v>-0</v>
      </c>
    </row>
    <row r="16" customFormat="false" ht="15" hidden="false" customHeight="false" outlineLevel="0" collapsed="false">
      <c r="B16" s="5" t="s">
        <v>251</v>
      </c>
      <c r="C16" s="11" t="n">
        <f aca="false">SUM(E16:AH16)</f>
        <v>0</v>
      </c>
      <c r="D16" s="11"/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  <c r="X16" s="31" t="n">
        <v>0</v>
      </c>
      <c r="Y16" s="31" t="n">
        <v>0</v>
      </c>
      <c r="Z16" s="31" t="n">
        <v>0</v>
      </c>
      <c r="AA16" s="31" t="n">
        <v>0</v>
      </c>
      <c r="AB16" s="31" t="n">
        <v>0</v>
      </c>
      <c r="AC16" s="31" t="n">
        <v>0</v>
      </c>
      <c r="AD16" s="31" t="n">
        <v>0</v>
      </c>
      <c r="AE16" s="31" t="n">
        <v>0</v>
      </c>
      <c r="AF16" s="31" t="n">
        <v>0</v>
      </c>
      <c r="AG16" s="31" t="n">
        <v>0</v>
      </c>
      <c r="AH16" s="31" t="n">
        <v>0</v>
      </c>
    </row>
    <row r="17" customFormat="false" ht="15" hidden="false" customHeight="false" outlineLevel="0" collapsed="false">
      <c r="B17" s="5" t="s">
        <v>252</v>
      </c>
      <c r="C17" s="11" t="n">
        <f aca="false">SUM(E17:AH17)</f>
        <v>0</v>
      </c>
      <c r="D17" s="11"/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  <c r="X17" s="31" t="n">
        <v>0</v>
      </c>
      <c r="Y17" s="31" t="n">
        <v>0</v>
      </c>
      <c r="Z17" s="31" t="n">
        <v>0</v>
      </c>
      <c r="AA17" s="31" t="n">
        <v>0</v>
      </c>
      <c r="AB17" s="31" t="n">
        <v>0</v>
      </c>
      <c r="AC17" s="31" t="n">
        <v>0</v>
      </c>
      <c r="AD17" s="31" t="n">
        <v>0</v>
      </c>
      <c r="AE17" s="31" t="n">
        <v>0</v>
      </c>
      <c r="AF17" s="31" t="n">
        <v>0</v>
      </c>
      <c r="AG17" s="31" t="n">
        <v>0</v>
      </c>
      <c r="AH17" s="31" t="n">
        <v>0</v>
      </c>
    </row>
    <row r="18" customFormat="false" ht="15" hidden="false" customHeight="false" outlineLevel="0" collapsed="false">
      <c r="B18" s="42" t="s">
        <v>253</v>
      </c>
      <c r="C18" s="43" t="n">
        <f aca="false">SUM(E18:AH18)</f>
        <v>-8970.37144</v>
      </c>
      <c r="D18" s="43"/>
      <c r="E18" s="43" t="n">
        <f aca="false">E12+E13+E14+E15-E16+E17</f>
        <v>-101.964891666667</v>
      </c>
      <c r="F18" s="43" t="n">
        <f aca="false">F12+F13+F14+F15-F16+F17</f>
        <v>-101.964891666667</v>
      </c>
      <c r="G18" s="43" t="n">
        <f aca="false">G12+G13+G14+G15-G16+G17</f>
        <v>-828.609501666667</v>
      </c>
      <c r="H18" s="43" t="n">
        <f aca="false">H12+H13+H14+H15-H16+H17</f>
        <v>-101.964891666667</v>
      </c>
      <c r="I18" s="43" t="n">
        <f aca="false">I12+I13+I14+I15-I16+I17</f>
        <v>-101.964891666667</v>
      </c>
      <c r="J18" s="43" t="n">
        <f aca="false">J12+J13+J14+J15-J16+J17</f>
        <v>-101.964891666667</v>
      </c>
      <c r="K18" s="43" t="n">
        <f aca="false">K12+K13+K14+K15-K16+K17</f>
        <v>-101.964891666667</v>
      </c>
      <c r="L18" s="43" t="n">
        <f aca="false">L12+L13+L14+L15-L16+L17</f>
        <v>-101.964891666667</v>
      </c>
      <c r="M18" s="43" t="n">
        <f aca="false">M12+M13+M14+M15-M16+M17</f>
        <v>-101.964891666667</v>
      </c>
      <c r="N18" s="43" t="n">
        <f aca="false">N12+N13+N14+N15-N16+N17</f>
        <v>-1167.71032166667</v>
      </c>
      <c r="O18" s="43" t="n">
        <f aca="false">O12+O13+O14+O15-O16+O17</f>
        <v>-1101.96489166667</v>
      </c>
      <c r="P18" s="43" t="n">
        <f aca="false">P12+P13+P14+P15-P16+P17</f>
        <v>-101.964891666667</v>
      </c>
      <c r="Q18" s="43" t="n">
        <f aca="false">Q12+Q13+Q14+Q15-Q16+Q17</f>
        <v>-101.964891666667</v>
      </c>
      <c r="R18" s="43" t="n">
        <f aca="false">R12+R13+R14+R15-R16+R17</f>
        <v>-101.964891666667</v>
      </c>
      <c r="S18" s="43" t="n">
        <f aca="false">S12+S13+S14+S15-S16+S17</f>
        <v>-828.609501666667</v>
      </c>
      <c r="T18" s="43" t="n">
        <f aca="false">T12+T13+T14+T15-T16+T17</f>
        <v>-101.964891666667</v>
      </c>
      <c r="U18" s="43" t="n">
        <f aca="false">U12+U13+U14+U15-U16+U17</f>
        <v>-101.964891666667</v>
      </c>
      <c r="V18" s="43" t="n">
        <f aca="false">V12+V13+V14+V15-V16+V17</f>
        <v>-101.964891666667</v>
      </c>
      <c r="W18" s="43" t="n">
        <f aca="false">W12+W13+W14+W15-W16+W17</f>
        <v>-101.964891666667</v>
      </c>
      <c r="X18" s="43" t="n">
        <f aca="false">X12+X13+X14+X15-X16+X17</f>
        <v>-101.964891666667</v>
      </c>
      <c r="Y18" s="43" t="n">
        <f aca="false">Y12+Y13+Y14+Y15-Y16+Y17</f>
        <v>-701.964891666667</v>
      </c>
      <c r="Z18" s="43" t="n">
        <f aca="false">Z12+Z13+Z14+Z15-Z16+Z17</f>
        <v>-1167.71032166667</v>
      </c>
      <c r="AA18" s="43" t="n">
        <f aca="false">AA12+AA13+AA14+AA15-AA16+AA17</f>
        <v>-101.964891666667</v>
      </c>
      <c r="AB18" s="43" t="n">
        <f aca="false">AB12+AB13+AB14+AB15-AB16+AB17</f>
        <v>-101.964891666667</v>
      </c>
      <c r="AC18" s="43" t="n">
        <f aca="false">AC12+AC13+AC14+AC15-AC16+AC17</f>
        <v>-101.964891666667</v>
      </c>
      <c r="AD18" s="43" t="n">
        <f aca="false">AD12+AD13+AD14+AD15-AD16+AD17</f>
        <v>-101.964891666667</v>
      </c>
      <c r="AE18" s="43" t="n">
        <f aca="false">AE12+AE13+AE14+AE15-AE16+AE17</f>
        <v>-828.609501666667</v>
      </c>
      <c r="AF18" s="43" t="n">
        <f aca="false">AF12+AF13+AF14+AF15-AF16+AF17</f>
        <v>-101.964891666667</v>
      </c>
      <c r="AG18" s="43" t="n">
        <f aca="false">AG12+AG13+AG14+AG15-AG16+AG17</f>
        <v>-101.964891666667</v>
      </c>
      <c r="AH18" s="43" t="n">
        <f aca="false">AH12+AH13+AH14+AH15-AH16+AH17</f>
        <v>-101.964891666667</v>
      </c>
    </row>
    <row r="19" customFormat="false" ht="15" hidden="false" customHeight="false" outlineLevel="0" collapsed="false">
      <c r="B19" s="5" t="s">
        <v>254</v>
      </c>
      <c r="C19" s="11"/>
      <c r="D19" s="11"/>
      <c r="E19" s="11" t="n">
        <f aca="false">IF(AND(E$6&gt;=EOMONTH(가정!$C$69,0),E$6&lt;=EOMONTH(가정!$C$70,0)),가정!$C$61,0)</f>
        <v>0</v>
      </c>
      <c r="F19" s="11" t="n">
        <f aca="false">IF(AND(F$6&gt;=EOMONTH(가정!$C$69,0),F$6&lt;=EOMONTH(가정!$C$70,0)),가정!$C$61,0)</f>
        <v>0</v>
      </c>
      <c r="G19" s="11" t="n">
        <f aca="false">IF(AND(G$6&gt;=EOMONTH(가정!$C$69,0),G$6&lt;=EOMONTH(가정!$C$70,0)),가정!$C$61,0)</f>
        <v>0</v>
      </c>
      <c r="H19" s="11" t="n">
        <f aca="false">IF(AND(H$6&gt;=EOMONTH(가정!$C$69,0),H$6&lt;=EOMONTH(가정!$C$70,0)),가정!$C$61,0)</f>
        <v>4500</v>
      </c>
      <c r="I19" s="11" t="n">
        <f aca="false">IF(AND(I$6&gt;=EOMONTH(가정!$C$69,0),I$6&lt;=EOMONTH(가정!$C$70,0)),가정!$C$61,0)</f>
        <v>4500</v>
      </c>
      <c r="J19" s="11" t="n">
        <f aca="false">IF(AND(J$6&gt;=EOMONTH(가정!$C$69,0),J$6&lt;=EOMONTH(가정!$C$70,0)),가정!$C$61,0)</f>
        <v>4500</v>
      </c>
      <c r="K19" s="11" t="n">
        <f aca="false">IF(AND(K$6&gt;=EOMONTH(가정!$C$69,0),K$6&lt;=EOMONTH(가정!$C$70,0)),가정!$C$61,0)</f>
        <v>4500</v>
      </c>
      <c r="L19" s="11" t="n">
        <f aca="false">IF(AND(L$6&gt;=EOMONTH(가정!$C$69,0),L$6&lt;=EOMONTH(가정!$C$70,0)),가정!$C$61,0)</f>
        <v>4500</v>
      </c>
      <c r="M19" s="11" t="n">
        <f aca="false">IF(AND(M$6&gt;=EOMONTH(가정!$C$69,0),M$6&lt;=EOMONTH(가정!$C$70,0)),가정!$C$61,0)</f>
        <v>4500</v>
      </c>
      <c r="N19" s="11" t="n">
        <f aca="false">IF(AND(N$6&gt;=EOMONTH(가정!$C$69,0),N$6&lt;=EOMONTH(가정!$C$70,0)),가정!$C$61,0)</f>
        <v>4500</v>
      </c>
      <c r="O19" s="11" t="n">
        <f aca="false">IF(AND(O$6&gt;=EOMONTH(가정!$C$69,0),O$6&lt;=EOMONTH(가정!$C$70,0)),가정!$C$61,0)</f>
        <v>4500</v>
      </c>
      <c r="P19" s="11" t="n">
        <f aca="false">IF(AND(P$6&gt;=EOMONTH(가정!$C$69,0),P$6&lt;=EOMONTH(가정!$C$70,0)),가정!$C$61,0)</f>
        <v>4500</v>
      </c>
      <c r="Q19" s="11" t="n">
        <f aca="false">IF(AND(Q$6&gt;=EOMONTH(가정!$C$69,0),Q$6&lt;=EOMONTH(가정!$C$70,0)),가정!$C$61,0)</f>
        <v>4500</v>
      </c>
      <c r="R19" s="11" t="n">
        <f aca="false">IF(AND(R$6&gt;=EOMONTH(가정!$C$69,0),R$6&lt;=EOMONTH(가정!$C$70,0)),가정!$C$61,0)</f>
        <v>4500</v>
      </c>
      <c r="S19" s="11" t="n">
        <f aca="false">IF(AND(S$6&gt;=EOMONTH(가정!$C$69,0),S$6&lt;=EOMONTH(가정!$C$70,0)),가정!$C$61,0)</f>
        <v>4500</v>
      </c>
      <c r="T19" s="11" t="n">
        <f aca="false">IF(AND(T$6&gt;=EOMONTH(가정!$C$69,0),T$6&lt;=EOMONTH(가정!$C$70,0)),가정!$C$61,0)</f>
        <v>4500</v>
      </c>
      <c r="U19" s="11" t="n">
        <f aca="false">IF(AND(U$6&gt;=EOMONTH(가정!$C$69,0),U$6&lt;=EOMONTH(가정!$C$70,0)),가정!$C$61,0)</f>
        <v>4500</v>
      </c>
      <c r="V19" s="11" t="n">
        <f aca="false">IF(AND(V$6&gt;=EOMONTH(가정!$C$69,0),V$6&lt;=EOMONTH(가정!$C$70,0)),가정!$C$61,0)</f>
        <v>4500</v>
      </c>
      <c r="W19" s="11" t="n">
        <f aca="false">IF(AND(W$6&gt;=EOMONTH(가정!$C$69,0),W$6&lt;=EOMONTH(가정!$C$70,0)),가정!$C$61,0)</f>
        <v>4500</v>
      </c>
      <c r="X19" s="11" t="n">
        <f aca="false">IF(AND(X$6&gt;=EOMONTH(가정!$C$69,0),X$6&lt;=EOMONTH(가정!$C$70,0)),가정!$C$61,0)</f>
        <v>4500</v>
      </c>
      <c r="Y19" s="11" t="n">
        <f aca="false">IF(AND(Y$6&gt;=EOMONTH(가정!$C$69,0),Y$6&lt;=EOMONTH(가정!$C$70,0)),가정!$C$61,0)</f>
        <v>4500</v>
      </c>
      <c r="Z19" s="11" t="n">
        <f aca="false">IF(AND(Z$6&gt;=EOMONTH(가정!$C$69,0),Z$6&lt;=EOMONTH(가정!$C$70,0)),가정!$C$61,0)</f>
        <v>4500</v>
      </c>
      <c r="AA19" s="11" t="n">
        <f aca="false">IF(AND(AA$6&gt;=EOMONTH(가정!$C$69,0),AA$6&lt;=EOMONTH(가정!$C$70,0)),가정!$C$61,0)</f>
        <v>4500</v>
      </c>
      <c r="AB19" s="11" t="n">
        <f aca="false">IF(AND(AB$6&gt;=EOMONTH(가정!$C$69,0),AB$6&lt;=EOMONTH(가정!$C$70,0)),가정!$C$61,0)</f>
        <v>4500</v>
      </c>
      <c r="AC19" s="11" t="n">
        <f aca="false">IF(AND(AC$6&gt;=EOMONTH(가정!$C$69,0),AC$6&lt;=EOMONTH(가정!$C$70,0)),가정!$C$61,0)</f>
        <v>4500</v>
      </c>
      <c r="AD19" s="11" t="n">
        <f aca="false">IF(AND(AD$6&gt;=EOMONTH(가정!$C$69,0),AD$6&lt;=EOMONTH(가정!$C$70,0)),가정!$C$61,0)</f>
        <v>4500</v>
      </c>
      <c r="AE19" s="11" t="n">
        <f aca="false">IF(AND(AE$6&gt;=EOMONTH(가정!$C$69,0),AE$6&lt;=EOMONTH(가정!$C$70,0)),가정!$C$61,0)</f>
        <v>4500</v>
      </c>
      <c r="AF19" s="11" t="n">
        <f aca="false">IF(AND(AF$6&gt;=EOMONTH(가정!$C$69,0),AF$6&lt;=EOMONTH(가정!$C$70,0)),가정!$C$61,0)</f>
        <v>0</v>
      </c>
      <c r="AG19" s="11" t="n">
        <f aca="false">IF(AND(AG$6&gt;=EOMONTH(가정!$C$69,0),AG$6&lt;=EOMONTH(가정!$C$70,0)),가정!$C$61,0)</f>
        <v>0</v>
      </c>
      <c r="AH19" s="11" t="n">
        <f aca="false">IF(AND(AH$6&gt;=EOMONTH(가정!$C$69,0),AH$6&lt;=EOMONTH(가정!$C$70,0)),가정!$C$61,0)</f>
        <v>0</v>
      </c>
    </row>
    <row r="20" customFormat="false" ht="15" hidden="false" customHeight="false" outlineLevel="0" collapsed="false">
      <c r="B20" s="5" t="s">
        <v>21</v>
      </c>
      <c r="C20" s="11" t="n">
        <f aca="false">SUM(E20:AH20)</f>
        <v>6.75</v>
      </c>
      <c r="D20" s="11"/>
      <c r="E20" s="11" t="n">
        <f aca="false">IF(E$6=EOMONTH(가정!$C$69,0),가정!$C$68,0)</f>
        <v>0</v>
      </c>
      <c r="F20" s="11" t="n">
        <f aca="false">IF(F$6=EOMONTH(가정!$C$69,0),가정!$C$68,0)</f>
        <v>0</v>
      </c>
      <c r="G20" s="11" t="n">
        <f aca="false">IF(G$6=EOMONTH(가정!$C$69,0),가정!$C$68,0)</f>
        <v>0</v>
      </c>
      <c r="H20" s="11" t="n">
        <f aca="false">IF(H$6=EOMONTH(가정!$C$69,0),가정!$C$68,0)</f>
        <v>6.75</v>
      </c>
      <c r="I20" s="11" t="n">
        <f aca="false">IF(I$6=EOMONTH(가정!$C$69,0),가정!$C$68,0)</f>
        <v>0</v>
      </c>
      <c r="J20" s="11" t="n">
        <f aca="false">IF(J$6=EOMONTH(가정!$C$69,0),가정!$C$68,0)</f>
        <v>0</v>
      </c>
      <c r="K20" s="11" t="n">
        <f aca="false">IF(K$6=EOMONTH(가정!$C$69,0),가정!$C$68,0)</f>
        <v>0</v>
      </c>
      <c r="L20" s="11" t="n">
        <f aca="false">IF(L$6=EOMONTH(가정!$C$69,0),가정!$C$68,0)</f>
        <v>0</v>
      </c>
      <c r="M20" s="11" t="n">
        <f aca="false">IF(M$6=EOMONTH(가정!$C$69,0),가정!$C$68,0)</f>
        <v>0</v>
      </c>
      <c r="N20" s="11" t="n">
        <f aca="false">IF(N$6=EOMONTH(가정!$C$69,0),가정!$C$68,0)</f>
        <v>0</v>
      </c>
      <c r="O20" s="11" t="n">
        <f aca="false">IF(O$6=EOMONTH(가정!$C$69,0),가정!$C$68,0)</f>
        <v>0</v>
      </c>
      <c r="P20" s="11" t="n">
        <f aca="false">IF(P$6=EOMONTH(가정!$C$69,0),가정!$C$68,0)</f>
        <v>0</v>
      </c>
      <c r="Q20" s="11" t="n">
        <f aca="false">IF(Q$6=EOMONTH(가정!$C$69,0),가정!$C$68,0)</f>
        <v>0</v>
      </c>
      <c r="R20" s="11" t="n">
        <f aca="false">IF(R$6=EOMONTH(가정!$C$69,0),가정!$C$68,0)</f>
        <v>0</v>
      </c>
      <c r="S20" s="11" t="n">
        <f aca="false">IF(S$6=EOMONTH(가정!$C$69,0),가정!$C$68,0)</f>
        <v>0</v>
      </c>
      <c r="T20" s="11" t="n">
        <f aca="false">IF(T$6=EOMONTH(가정!$C$69,0),가정!$C$68,0)</f>
        <v>0</v>
      </c>
      <c r="U20" s="11" t="n">
        <f aca="false">IF(U$6=EOMONTH(가정!$C$69,0),가정!$C$68,0)</f>
        <v>0</v>
      </c>
      <c r="V20" s="11" t="n">
        <f aca="false">IF(V$6=EOMONTH(가정!$C$69,0),가정!$C$68,0)</f>
        <v>0</v>
      </c>
      <c r="W20" s="11" t="n">
        <f aca="false">IF(W$6=EOMONTH(가정!$C$69,0),가정!$C$68,0)</f>
        <v>0</v>
      </c>
      <c r="X20" s="11" t="n">
        <f aca="false">IF(X$6=EOMONTH(가정!$C$69,0),가정!$C$68,0)</f>
        <v>0</v>
      </c>
      <c r="Y20" s="11" t="n">
        <f aca="false">IF(Y$6=EOMONTH(가정!$C$69,0),가정!$C$68,0)</f>
        <v>0</v>
      </c>
      <c r="Z20" s="11" t="n">
        <f aca="false">IF(Z$6=EOMONTH(가정!$C$69,0),가정!$C$68,0)</f>
        <v>0</v>
      </c>
      <c r="AA20" s="11" t="n">
        <f aca="false">IF(AA$6=EOMONTH(가정!$C$69,0),가정!$C$68,0)</f>
        <v>0</v>
      </c>
      <c r="AB20" s="11" t="n">
        <f aca="false">IF(AB$6=EOMONTH(가정!$C$69,0),가정!$C$68,0)</f>
        <v>0</v>
      </c>
      <c r="AC20" s="11" t="n">
        <f aca="false">IF(AC$6=EOMONTH(가정!$C$69,0),가정!$C$68,0)</f>
        <v>0</v>
      </c>
      <c r="AD20" s="11" t="n">
        <f aca="false">IF(AD$6=EOMONTH(가정!$C$69,0),가정!$C$68,0)</f>
        <v>0</v>
      </c>
      <c r="AE20" s="11" t="n">
        <f aca="false">IF(AE$6=EOMONTH(가정!$C$69,0),가정!$C$68,0)</f>
        <v>0</v>
      </c>
      <c r="AF20" s="11" t="n">
        <f aca="false">IF(AF$6=EOMONTH(가정!$C$69,0),가정!$C$68,0)</f>
        <v>0</v>
      </c>
      <c r="AG20" s="11" t="n">
        <f aca="false">IF(AG$6=EOMONTH(가정!$C$69,0),가정!$C$68,0)</f>
        <v>0</v>
      </c>
      <c r="AH20" s="11" t="n">
        <f aca="false">IF(AH$6=EOMONTH(가정!$C$69,0),가정!$C$68,0)</f>
        <v>0</v>
      </c>
    </row>
    <row r="21" customFormat="false" ht="15" hidden="false" customHeight="false" outlineLevel="0" collapsed="false">
      <c r="B21" s="5" t="s">
        <v>25</v>
      </c>
      <c r="C21" s="11"/>
      <c r="D21" s="11"/>
      <c r="E21" s="44" t="n">
        <f aca="false">가정!$C$57</f>
        <v>7605.79085333333</v>
      </c>
      <c r="F21" s="44" t="n">
        <f aca="false">가정!$C$57</f>
        <v>7605.79085333333</v>
      </c>
      <c r="G21" s="44" t="n">
        <f aca="false">가정!$C$57</f>
        <v>7605.79085333333</v>
      </c>
      <c r="H21" s="44" t="n">
        <f aca="false">가정!$C$57</f>
        <v>7605.79085333333</v>
      </c>
      <c r="I21" s="44" t="n">
        <f aca="false">가정!$C$57</f>
        <v>7605.79085333333</v>
      </c>
      <c r="J21" s="44" t="n">
        <f aca="false">가정!$C$57</f>
        <v>7605.79085333333</v>
      </c>
      <c r="K21" s="44" t="n">
        <f aca="false">가정!$C$57</f>
        <v>7605.79085333333</v>
      </c>
      <c r="L21" s="44" t="n">
        <f aca="false">가정!$C$57</f>
        <v>7605.79085333333</v>
      </c>
      <c r="M21" s="44" t="n">
        <f aca="false">가정!$C$57</f>
        <v>7605.79085333333</v>
      </c>
      <c r="N21" s="44" t="n">
        <f aca="false">가정!$C$57</f>
        <v>7605.79085333333</v>
      </c>
      <c r="O21" s="44" t="n">
        <f aca="false">가정!$C$57</f>
        <v>7605.79085333333</v>
      </c>
      <c r="P21" s="44" t="n">
        <f aca="false">가정!$C$57</f>
        <v>7605.79085333333</v>
      </c>
      <c r="Q21" s="44" t="n">
        <f aca="false">가정!$C$57</f>
        <v>7605.79085333333</v>
      </c>
      <c r="R21" s="44" t="n">
        <f aca="false">가정!$C$57</f>
        <v>7605.79085333333</v>
      </c>
      <c r="S21" s="44" t="n">
        <f aca="false">가정!$C$57</f>
        <v>7605.79085333333</v>
      </c>
      <c r="T21" s="44" t="n">
        <f aca="false">가정!$C$57</f>
        <v>7605.79085333333</v>
      </c>
      <c r="U21" s="44" t="n">
        <f aca="false">가정!$C$57</f>
        <v>7605.79085333333</v>
      </c>
      <c r="V21" s="44" t="n">
        <f aca="false">가정!$C$57</f>
        <v>7605.79085333333</v>
      </c>
      <c r="W21" s="44" t="n">
        <f aca="false">가정!$C$57</f>
        <v>7605.79085333333</v>
      </c>
      <c r="X21" s="44" t="n">
        <f aca="false">가정!$C$57</f>
        <v>7605.79085333333</v>
      </c>
      <c r="Y21" s="44" t="n">
        <f aca="false">가정!$C$57</f>
        <v>7605.79085333333</v>
      </c>
      <c r="Z21" s="44" t="n">
        <f aca="false">가정!$C$57</f>
        <v>7605.79085333333</v>
      </c>
      <c r="AA21" s="44" t="n">
        <f aca="false">가정!$C$57</f>
        <v>7605.79085333333</v>
      </c>
      <c r="AB21" s="44" t="n">
        <f aca="false">가정!$C$57</f>
        <v>7605.79085333333</v>
      </c>
      <c r="AC21" s="44" t="n">
        <f aca="false">가정!$C$57</f>
        <v>7605.79085333333</v>
      </c>
      <c r="AD21" s="44" t="n">
        <f aca="false">가정!$C$57</f>
        <v>7605.79085333333</v>
      </c>
      <c r="AE21" s="44" t="n">
        <f aca="false">가정!$C$57</f>
        <v>7605.79085333333</v>
      </c>
      <c r="AF21" s="44" t="n">
        <f aca="false">가정!$C$57</f>
        <v>7605.79085333333</v>
      </c>
      <c r="AG21" s="44" t="n">
        <f aca="false">가정!$C$57</f>
        <v>7605.79085333333</v>
      </c>
      <c r="AH21" s="44" t="n">
        <f aca="false">가정!$C$57</f>
        <v>7605.79085333333</v>
      </c>
    </row>
    <row r="23" customFormat="false" ht="17.15" hidden="false" customHeight="false" outlineLevel="0" collapsed="false">
      <c r="B23" s="3" t="s">
        <v>255</v>
      </c>
    </row>
    <row r="24" customFormat="false" ht="15" hidden="false" customHeight="false" outlineLevel="0" collapsed="false">
      <c r="B24" s="5" t="s">
        <v>256</v>
      </c>
      <c r="C24" s="10"/>
      <c r="D24" s="10"/>
      <c r="E24" s="41" t="n">
        <v>1</v>
      </c>
      <c r="F24" s="41" t="n">
        <v>1</v>
      </c>
      <c r="G24" s="41" t="n">
        <v>1</v>
      </c>
      <c r="H24" s="41" t="n">
        <v>1</v>
      </c>
      <c r="I24" s="41" t="n">
        <v>1</v>
      </c>
      <c r="J24" s="41" t="n">
        <v>1</v>
      </c>
      <c r="K24" s="41" t="n">
        <v>1</v>
      </c>
      <c r="L24" s="41" t="n">
        <v>1</v>
      </c>
      <c r="M24" s="41" t="n">
        <v>1</v>
      </c>
      <c r="N24" s="41" t="n">
        <v>1</v>
      </c>
      <c r="O24" s="41" t="n">
        <v>1</v>
      </c>
      <c r="P24" s="41" t="n">
        <v>1</v>
      </c>
      <c r="Q24" s="41" t="n">
        <v>1</v>
      </c>
      <c r="R24" s="41" t="n">
        <v>1</v>
      </c>
      <c r="S24" s="41" t="n">
        <v>1</v>
      </c>
      <c r="T24" s="41" t="n">
        <v>1</v>
      </c>
      <c r="U24" s="41" t="n">
        <v>1</v>
      </c>
      <c r="V24" s="41" t="n">
        <v>1</v>
      </c>
      <c r="W24" s="41" t="n">
        <v>1</v>
      </c>
      <c r="X24" s="41" t="n">
        <v>1</v>
      </c>
      <c r="Y24" s="41" t="n">
        <v>1</v>
      </c>
      <c r="Z24" s="41" t="n">
        <v>1</v>
      </c>
      <c r="AA24" s="41" t="n">
        <v>1</v>
      </c>
      <c r="AB24" s="41" t="n">
        <v>1</v>
      </c>
      <c r="AC24" s="41" t="n">
        <v>1</v>
      </c>
      <c r="AD24" s="41" t="n">
        <v>1</v>
      </c>
      <c r="AE24" s="41" t="n">
        <v>1</v>
      </c>
      <c r="AF24" s="41" t="n">
        <v>1</v>
      </c>
      <c r="AG24" s="41" t="n">
        <v>1</v>
      </c>
      <c r="AH24" s="41" t="n">
        <v>1</v>
      </c>
    </row>
    <row r="25" customFormat="false" ht="15" hidden="false" customHeight="false" outlineLevel="0" collapsed="false">
      <c r="B25" s="5" t="s">
        <v>257</v>
      </c>
      <c r="C25" s="45"/>
      <c r="D25" s="45"/>
      <c r="E25" s="46" t="n">
        <v>0</v>
      </c>
      <c r="F25" s="46" t="n">
        <v>0</v>
      </c>
      <c r="G25" s="46" t="n">
        <v>0</v>
      </c>
      <c r="H25" s="46" t="n">
        <v>0</v>
      </c>
      <c r="I25" s="46" t="n">
        <v>0</v>
      </c>
      <c r="J25" s="46" t="n">
        <v>0</v>
      </c>
      <c r="K25" s="46" t="n">
        <v>0</v>
      </c>
      <c r="L25" s="46" t="n">
        <v>0</v>
      </c>
      <c r="M25" s="46" t="n">
        <v>0</v>
      </c>
      <c r="N25" s="46" t="n">
        <v>0</v>
      </c>
      <c r="O25" s="46" t="n">
        <v>0</v>
      </c>
      <c r="P25" s="46" t="n">
        <v>0</v>
      </c>
      <c r="Q25" s="46" t="n">
        <v>0</v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0</v>
      </c>
      <c r="AG25" s="46" t="n">
        <v>0</v>
      </c>
      <c r="AH25" s="46" t="n">
        <v>0</v>
      </c>
    </row>
    <row r="26" customFormat="false" ht="15" hidden="false" customHeight="false" outlineLevel="0" collapsed="false">
      <c r="B26" s="5" t="s">
        <v>258</v>
      </c>
      <c r="C26" s="47"/>
      <c r="D26" s="47"/>
      <c r="E26" s="48" t="n">
        <v>1</v>
      </c>
      <c r="F26" s="48" t="n">
        <v>1</v>
      </c>
      <c r="G26" s="48" t="n">
        <v>1</v>
      </c>
      <c r="H26" s="48" t="n">
        <v>1</v>
      </c>
      <c r="I26" s="48" t="n">
        <v>1</v>
      </c>
      <c r="J26" s="48" t="n">
        <v>1</v>
      </c>
      <c r="K26" s="48" t="n">
        <v>1</v>
      </c>
      <c r="L26" s="48" t="n">
        <v>1</v>
      </c>
      <c r="M26" s="48" t="n">
        <v>1</v>
      </c>
      <c r="N26" s="48" t="n">
        <v>1</v>
      </c>
      <c r="O26" s="48" t="n">
        <v>1</v>
      </c>
      <c r="P26" s="48" t="n">
        <v>1</v>
      </c>
      <c r="Q26" s="48" t="n">
        <v>1</v>
      </c>
      <c r="R26" s="48" t="n">
        <v>1</v>
      </c>
      <c r="S26" s="48" t="n">
        <v>1</v>
      </c>
      <c r="T26" s="48" t="n">
        <v>1</v>
      </c>
      <c r="U26" s="48" t="n">
        <v>1</v>
      </c>
      <c r="V26" s="48" t="n">
        <v>1</v>
      </c>
      <c r="W26" s="48" t="n">
        <v>1</v>
      </c>
      <c r="X26" s="48" t="n">
        <v>1</v>
      </c>
      <c r="Y26" s="48" t="n">
        <v>1</v>
      </c>
      <c r="Z26" s="48" t="n">
        <v>1</v>
      </c>
      <c r="AA26" s="48" t="n">
        <v>1</v>
      </c>
      <c r="AB26" s="48" t="n">
        <v>1</v>
      </c>
      <c r="AC26" s="48" t="n">
        <v>1</v>
      </c>
      <c r="AD26" s="48" t="n">
        <v>1</v>
      </c>
      <c r="AE26" s="48" t="n">
        <v>1</v>
      </c>
      <c r="AF26" s="48" t="n">
        <v>1</v>
      </c>
      <c r="AG26" s="48" t="n">
        <v>1</v>
      </c>
      <c r="AH26" s="48" t="n">
        <v>1</v>
      </c>
    </row>
    <row r="27" customFormat="false" ht="15" hidden="false" customHeight="false" outlineLevel="0" collapsed="false">
      <c r="B27" s="5" t="s">
        <v>259</v>
      </c>
      <c r="C27" s="11" t="n">
        <f aca="false">SUM(E27:AH27)</f>
        <v>8379.37105</v>
      </c>
      <c r="D27" s="11"/>
      <c r="E27" s="11" t="n">
        <f aca="false">가정!$C$37*E24</f>
        <v>279.312368333333</v>
      </c>
      <c r="F27" s="11" t="n">
        <f aca="false">가정!$C$37*F24</f>
        <v>279.312368333333</v>
      </c>
      <c r="G27" s="11" t="n">
        <f aca="false">가정!$C$37*G24</f>
        <v>279.312368333333</v>
      </c>
      <c r="H27" s="11" t="n">
        <f aca="false">가정!$C$37*H24</f>
        <v>279.312368333333</v>
      </c>
      <c r="I27" s="11" t="n">
        <f aca="false">가정!$C$37*I24</f>
        <v>279.312368333333</v>
      </c>
      <c r="J27" s="11" t="n">
        <f aca="false">가정!$C$37*J24</f>
        <v>279.312368333333</v>
      </c>
      <c r="K27" s="11" t="n">
        <f aca="false">가정!$C$37*K24</f>
        <v>279.312368333333</v>
      </c>
      <c r="L27" s="11" t="n">
        <f aca="false">가정!$C$37*L24</f>
        <v>279.312368333333</v>
      </c>
      <c r="M27" s="11" t="n">
        <f aca="false">가정!$C$37*M24</f>
        <v>279.312368333333</v>
      </c>
      <c r="N27" s="11" t="n">
        <f aca="false">가정!$C$37*N24</f>
        <v>279.312368333333</v>
      </c>
      <c r="O27" s="11" t="n">
        <f aca="false">가정!$C$37*O24</f>
        <v>279.312368333333</v>
      </c>
      <c r="P27" s="11" t="n">
        <f aca="false">가정!$C$37*P24</f>
        <v>279.312368333333</v>
      </c>
      <c r="Q27" s="11" t="n">
        <f aca="false">가정!$C$37*Q24</f>
        <v>279.312368333333</v>
      </c>
      <c r="R27" s="11" t="n">
        <f aca="false">가정!$C$37*R24</f>
        <v>279.312368333333</v>
      </c>
      <c r="S27" s="11" t="n">
        <f aca="false">가정!$C$37*S24</f>
        <v>279.312368333333</v>
      </c>
      <c r="T27" s="11" t="n">
        <f aca="false">가정!$C$37*T24</f>
        <v>279.312368333333</v>
      </c>
      <c r="U27" s="11" t="n">
        <f aca="false">가정!$C$37*U24</f>
        <v>279.312368333333</v>
      </c>
      <c r="V27" s="11" t="n">
        <f aca="false">가정!$C$37*V24</f>
        <v>279.312368333333</v>
      </c>
      <c r="W27" s="11" t="n">
        <f aca="false">가정!$C$37*W24</f>
        <v>279.312368333333</v>
      </c>
      <c r="X27" s="11" t="n">
        <f aca="false">가정!$C$37*X24</f>
        <v>279.312368333333</v>
      </c>
      <c r="Y27" s="11" t="n">
        <f aca="false">가정!$C$37*Y24</f>
        <v>279.312368333333</v>
      </c>
      <c r="Z27" s="11" t="n">
        <f aca="false">가정!$C$37*Z24</f>
        <v>279.312368333333</v>
      </c>
      <c r="AA27" s="11" t="n">
        <f aca="false">가정!$C$37*AA24</f>
        <v>279.312368333333</v>
      </c>
      <c r="AB27" s="11" t="n">
        <f aca="false">가정!$C$37*AB24</f>
        <v>279.312368333333</v>
      </c>
      <c r="AC27" s="11" t="n">
        <f aca="false">가정!$C$37*AC24</f>
        <v>279.312368333333</v>
      </c>
      <c r="AD27" s="11" t="n">
        <f aca="false">가정!$C$37*AD24</f>
        <v>279.312368333333</v>
      </c>
      <c r="AE27" s="11" t="n">
        <f aca="false">가정!$C$37*AE24</f>
        <v>279.312368333333</v>
      </c>
      <c r="AF27" s="11" t="n">
        <f aca="false">가정!$C$37*AF24</f>
        <v>279.312368333333</v>
      </c>
      <c r="AG27" s="11" t="n">
        <f aca="false">가정!$C$37*AG24</f>
        <v>279.312368333333</v>
      </c>
      <c r="AH27" s="11" t="n">
        <f aca="false">가정!$C$37*AH24</f>
        <v>279.312368333333</v>
      </c>
    </row>
    <row r="28" customFormat="false" ht="15" hidden="false" customHeight="false" outlineLevel="0" collapsed="false">
      <c r="B28" s="5" t="s">
        <v>260</v>
      </c>
      <c r="C28" s="11" t="n">
        <f aca="false">SUM(E28:AH28)</f>
        <v>0</v>
      </c>
      <c r="D28" s="11"/>
      <c r="E28" s="11" t="n">
        <f aca="false">(0-E25)*가정!$C$49</f>
        <v>0</v>
      </c>
      <c r="F28" s="11" t="n">
        <f aca="false">(E25-F25)*가정!$C$49</f>
        <v>0</v>
      </c>
      <c r="G28" s="11" t="n">
        <f aca="false">(F25-G25)*가정!$C$49</f>
        <v>0</v>
      </c>
      <c r="H28" s="11" t="n">
        <f aca="false">(G25-H25)*가정!$C$49</f>
        <v>0</v>
      </c>
      <c r="I28" s="11" t="n">
        <f aca="false">(H25-I25)*가정!$C$49</f>
        <v>0</v>
      </c>
      <c r="J28" s="11" t="n">
        <f aca="false">(I25-J25)*가정!$C$49</f>
        <v>0</v>
      </c>
      <c r="K28" s="11" t="n">
        <f aca="false">(J25-K25)*가정!$C$49</f>
        <v>0</v>
      </c>
      <c r="L28" s="11" t="n">
        <f aca="false">(K25-L25)*가정!$C$49</f>
        <v>0</v>
      </c>
      <c r="M28" s="11" t="n">
        <f aca="false">(L25-M25)*가정!$C$49</f>
        <v>0</v>
      </c>
      <c r="N28" s="11" t="n">
        <f aca="false">(M25-N25)*가정!$C$49</f>
        <v>0</v>
      </c>
      <c r="O28" s="11" t="n">
        <f aca="false">(N25-O25)*가정!$C$49</f>
        <v>0</v>
      </c>
      <c r="P28" s="11" t="n">
        <f aca="false">(O25-P25)*가정!$C$49</f>
        <v>0</v>
      </c>
      <c r="Q28" s="11" t="n">
        <f aca="false">(P25-Q25)*가정!$C$49</f>
        <v>0</v>
      </c>
      <c r="R28" s="11" t="n">
        <f aca="false">(Q25-R25)*가정!$C$49</f>
        <v>0</v>
      </c>
      <c r="S28" s="11" t="n">
        <f aca="false">(R25-S25)*가정!$C$49</f>
        <v>0</v>
      </c>
      <c r="T28" s="11" t="n">
        <f aca="false">(S25-T25)*가정!$C$49</f>
        <v>0</v>
      </c>
      <c r="U28" s="11" t="n">
        <f aca="false">(T25-U25)*가정!$C$49</f>
        <v>0</v>
      </c>
      <c r="V28" s="11" t="n">
        <f aca="false">(U25-V25)*가정!$C$49</f>
        <v>0</v>
      </c>
      <c r="W28" s="11" t="n">
        <f aca="false">(V25-W25)*가정!$C$49</f>
        <v>0</v>
      </c>
      <c r="X28" s="11" t="n">
        <f aca="false">(W25-X25)*가정!$C$49</f>
        <v>0</v>
      </c>
      <c r="Y28" s="11" t="n">
        <f aca="false">(X25-Y25)*가정!$C$49</f>
        <v>0</v>
      </c>
      <c r="Z28" s="11" t="n">
        <f aca="false">(Y25-Z25)*가정!$C$49</f>
        <v>0</v>
      </c>
      <c r="AA28" s="11" t="n">
        <f aca="false">(Z25-AA25)*가정!$C$49</f>
        <v>0</v>
      </c>
      <c r="AB28" s="11" t="n">
        <f aca="false">(AA25-AB25)*가정!$C$49</f>
        <v>0</v>
      </c>
      <c r="AC28" s="11" t="n">
        <f aca="false">(AB25-AC25)*가정!$C$49</f>
        <v>0</v>
      </c>
      <c r="AD28" s="11" t="n">
        <f aca="false">(AC25-AD25)*가정!$C$49</f>
        <v>0</v>
      </c>
      <c r="AE28" s="11" t="n">
        <f aca="false">(AD25-AE25)*가정!$C$49</f>
        <v>0</v>
      </c>
      <c r="AF28" s="11" t="n">
        <f aca="false">(AE25-AF25)*가정!$C$49</f>
        <v>0</v>
      </c>
      <c r="AG28" s="11" t="n">
        <f aca="false">(AF25-AG25)*가정!$C$49</f>
        <v>0</v>
      </c>
      <c r="AH28" s="11" t="n">
        <f aca="false">(AG25-AH25)*가정!$C$49</f>
        <v>0</v>
      </c>
    </row>
    <row r="29" customFormat="false" ht="15" hidden="false" customHeight="false" outlineLevel="0" collapsed="false">
      <c r="B29" s="5" t="s">
        <v>261</v>
      </c>
      <c r="C29" s="11" t="n">
        <f aca="false">SUM(E29:AH29)</f>
        <v>-3814</v>
      </c>
      <c r="D29" s="11"/>
      <c r="E29" s="11" t="n">
        <f aca="false">E$11*E26</f>
        <v>-0</v>
      </c>
      <c r="F29" s="11" t="n">
        <f aca="false">F$11*F26</f>
        <v>-0</v>
      </c>
      <c r="G29" s="11" t="n">
        <f aca="false">G$11*G26</f>
        <v>-0</v>
      </c>
      <c r="H29" s="11" t="n">
        <f aca="false">H$11*H26</f>
        <v>-762.8</v>
      </c>
      <c r="I29" s="11" t="n">
        <f aca="false">I$11*I26</f>
        <v>-0</v>
      </c>
      <c r="J29" s="11" t="n">
        <f aca="false">J$11*J26</f>
        <v>-0</v>
      </c>
      <c r="K29" s="11" t="n">
        <f aca="false">K$11*K26</f>
        <v>-0</v>
      </c>
      <c r="L29" s="11" t="n">
        <f aca="false">L$11*L26</f>
        <v>-0</v>
      </c>
      <c r="M29" s="11" t="n">
        <f aca="false">M$11*M26</f>
        <v>-1144.2</v>
      </c>
      <c r="N29" s="11" t="n">
        <f aca="false">N$11*N26</f>
        <v>-0</v>
      </c>
      <c r="O29" s="11" t="n">
        <f aca="false">O$11*O26</f>
        <v>-0</v>
      </c>
      <c r="P29" s="11" t="n">
        <f aca="false">P$11*P26</f>
        <v>-1907</v>
      </c>
      <c r="Q29" s="11" t="n">
        <f aca="false">Q$11*Q26</f>
        <v>-0</v>
      </c>
      <c r="R29" s="11" t="n">
        <f aca="false">R$11*R26</f>
        <v>-0</v>
      </c>
      <c r="S29" s="11" t="n">
        <f aca="false">S$11*S26</f>
        <v>-0</v>
      </c>
      <c r="T29" s="11" t="n">
        <f aca="false">T$11*T26</f>
        <v>-0</v>
      </c>
      <c r="U29" s="11" t="n">
        <f aca="false">U$11*U26</f>
        <v>-0</v>
      </c>
      <c r="V29" s="11" t="n">
        <f aca="false">V$11*V26</f>
        <v>-0</v>
      </c>
      <c r="W29" s="11" t="n">
        <f aca="false">W$11*W26</f>
        <v>-0</v>
      </c>
      <c r="X29" s="11" t="n">
        <f aca="false">X$11*X26</f>
        <v>-0</v>
      </c>
      <c r="Y29" s="11" t="n">
        <f aca="false">Y$11*Y26</f>
        <v>-0</v>
      </c>
      <c r="Z29" s="11" t="n">
        <f aca="false">Z$11*Z26</f>
        <v>-0</v>
      </c>
      <c r="AA29" s="11" t="n">
        <f aca="false">AA$11*AA26</f>
        <v>-0</v>
      </c>
      <c r="AB29" s="11" t="n">
        <f aca="false">AB$11*AB26</f>
        <v>-0</v>
      </c>
      <c r="AC29" s="11" t="n">
        <f aca="false">AC$11*AC26</f>
        <v>-0</v>
      </c>
      <c r="AD29" s="11" t="n">
        <f aca="false">AD$11*AD26</f>
        <v>-0</v>
      </c>
      <c r="AE29" s="11" t="n">
        <f aca="false">AE$11*AE26</f>
        <v>-0</v>
      </c>
      <c r="AF29" s="11" t="n">
        <f aca="false">AF$11*AF26</f>
        <v>-0</v>
      </c>
      <c r="AG29" s="11" t="n">
        <f aca="false">AG$11*AG26</f>
        <v>-0</v>
      </c>
      <c r="AH29" s="11" t="n">
        <f aca="false">AH$11*AH26</f>
        <v>-0</v>
      </c>
    </row>
    <row r="30" customFormat="false" ht="15" hidden="false" customHeight="false" outlineLevel="0" collapsed="false">
      <c r="B30" s="5" t="s">
        <v>262</v>
      </c>
      <c r="C30" s="11" t="n">
        <f aca="false">SUM(E30:AH30)</f>
        <v>-8970.37144</v>
      </c>
      <c r="D30" s="11"/>
      <c r="E30" s="11" t="n">
        <f aca="false">E$18</f>
        <v>-101.964891666667</v>
      </c>
      <c r="F30" s="11" t="n">
        <f aca="false">F$18</f>
        <v>-101.964891666667</v>
      </c>
      <c r="G30" s="11" t="n">
        <f aca="false">G$18</f>
        <v>-828.609501666667</v>
      </c>
      <c r="H30" s="11" t="n">
        <f aca="false">H$18</f>
        <v>-101.964891666667</v>
      </c>
      <c r="I30" s="11" t="n">
        <f aca="false">I$18</f>
        <v>-101.964891666667</v>
      </c>
      <c r="J30" s="11" t="n">
        <f aca="false">J$18</f>
        <v>-101.964891666667</v>
      </c>
      <c r="K30" s="11" t="n">
        <f aca="false">K$18</f>
        <v>-101.964891666667</v>
      </c>
      <c r="L30" s="11" t="n">
        <f aca="false">L$18</f>
        <v>-101.964891666667</v>
      </c>
      <c r="M30" s="11" t="n">
        <f aca="false">M$18</f>
        <v>-101.964891666667</v>
      </c>
      <c r="N30" s="11" t="n">
        <f aca="false">N$18</f>
        <v>-1167.71032166667</v>
      </c>
      <c r="O30" s="11" t="n">
        <f aca="false">O$18</f>
        <v>-1101.96489166667</v>
      </c>
      <c r="P30" s="11" t="n">
        <f aca="false">P$18</f>
        <v>-101.964891666667</v>
      </c>
      <c r="Q30" s="11" t="n">
        <f aca="false">Q$18</f>
        <v>-101.964891666667</v>
      </c>
      <c r="R30" s="11" t="n">
        <f aca="false">R$18</f>
        <v>-101.964891666667</v>
      </c>
      <c r="S30" s="11" t="n">
        <f aca="false">S$18</f>
        <v>-828.609501666667</v>
      </c>
      <c r="T30" s="11" t="n">
        <f aca="false">T$18</f>
        <v>-101.964891666667</v>
      </c>
      <c r="U30" s="11" t="n">
        <f aca="false">U$18</f>
        <v>-101.964891666667</v>
      </c>
      <c r="V30" s="11" t="n">
        <f aca="false">V$18</f>
        <v>-101.964891666667</v>
      </c>
      <c r="W30" s="11" t="n">
        <f aca="false">W$18</f>
        <v>-101.964891666667</v>
      </c>
      <c r="X30" s="11" t="n">
        <f aca="false">X$18</f>
        <v>-101.964891666667</v>
      </c>
      <c r="Y30" s="11" t="n">
        <f aca="false">Y$18</f>
        <v>-701.964891666667</v>
      </c>
      <c r="Z30" s="11" t="n">
        <f aca="false">Z$18</f>
        <v>-1167.71032166667</v>
      </c>
      <c r="AA30" s="11" t="n">
        <f aca="false">AA$18</f>
        <v>-101.964891666667</v>
      </c>
      <c r="AB30" s="11" t="n">
        <f aca="false">AB$18</f>
        <v>-101.964891666667</v>
      </c>
      <c r="AC30" s="11" t="n">
        <f aca="false">AC$18</f>
        <v>-101.964891666667</v>
      </c>
      <c r="AD30" s="11" t="n">
        <f aca="false">AD$18</f>
        <v>-101.964891666667</v>
      </c>
      <c r="AE30" s="11" t="n">
        <f aca="false">AE$18</f>
        <v>-828.609501666667</v>
      </c>
      <c r="AF30" s="11" t="n">
        <f aca="false">AF$18</f>
        <v>-101.964891666667</v>
      </c>
      <c r="AG30" s="11" t="n">
        <f aca="false">AG$18</f>
        <v>-101.964891666667</v>
      </c>
      <c r="AH30" s="11" t="n">
        <f aca="false">AH$18</f>
        <v>-101.964891666667</v>
      </c>
    </row>
    <row r="31" customFormat="false" ht="15" hidden="false" customHeight="false" outlineLevel="0" collapsed="false">
      <c r="B31" s="42" t="s">
        <v>263</v>
      </c>
      <c r="C31" s="43" t="n">
        <f aca="false">SUM(E31:AH31)</f>
        <v>-4405.00039</v>
      </c>
      <c r="D31" s="43"/>
      <c r="E31" s="43" t="n">
        <f aca="false">SUM(E27:E30)</f>
        <v>177.347476666667</v>
      </c>
      <c r="F31" s="43" t="n">
        <f aca="false">SUM(F27:F30)</f>
        <v>177.347476666667</v>
      </c>
      <c r="G31" s="43" t="n">
        <f aca="false">SUM(G27:G30)</f>
        <v>-549.297133333333</v>
      </c>
      <c r="H31" s="43" t="n">
        <f aca="false">SUM(H27:H30)</f>
        <v>-585.452523333333</v>
      </c>
      <c r="I31" s="43" t="n">
        <f aca="false">SUM(I27:I30)</f>
        <v>177.347476666667</v>
      </c>
      <c r="J31" s="43" t="n">
        <f aca="false">SUM(J27:J30)</f>
        <v>177.347476666667</v>
      </c>
      <c r="K31" s="43" t="n">
        <f aca="false">SUM(K27:K30)</f>
        <v>177.347476666667</v>
      </c>
      <c r="L31" s="43" t="n">
        <f aca="false">SUM(L27:L30)</f>
        <v>177.347476666667</v>
      </c>
      <c r="M31" s="43" t="n">
        <f aca="false">SUM(M27:M30)</f>
        <v>-966.852523333333</v>
      </c>
      <c r="N31" s="43" t="n">
        <f aca="false">SUM(N27:N30)</f>
        <v>-888.397953333333</v>
      </c>
      <c r="O31" s="43" t="n">
        <f aca="false">SUM(O27:O30)</f>
        <v>-822.652523333333</v>
      </c>
      <c r="P31" s="43" t="n">
        <f aca="false">SUM(P27:P30)</f>
        <v>-1729.65252333333</v>
      </c>
      <c r="Q31" s="43" t="n">
        <f aca="false">SUM(Q27:Q30)</f>
        <v>177.347476666667</v>
      </c>
      <c r="R31" s="43" t="n">
        <f aca="false">SUM(R27:R30)</f>
        <v>177.347476666667</v>
      </c>
      <c r="S31" s="43" t="n">
        <f aca="false">SUM(S27:S30)</f>
        <v>-549.297133333333</v>
      </c>
      <c r="T31" s="43" t="n">
        <f aca="false">SUM(T27:T30)</f>
        <v>177.347476666667</v>
      </c>
      <c r="U31" s="43" t="n">
        <f aca="false">SUM(U27:U30)</f>
        <v>177.347476666667</v>
      </c>
      <c r="V31" s="43" t="n">
        <f aca="false">SUM(V27:V30)</f>
        <v>177.347476666667</v>
      </c>
      <c r="W31" s="43" t="n">
        <f aca="false">SUM(W27:W30)</f>
        <v>177.347476666667</v>
      </c>
      <c r="X31" s="43" t="n">
        <f aca="false">SUM(X27:X30)</f>
        <v>177.347476666667</v>
      </c>
      <c r="Y31" s="43" t="n">
        <f aca="false">SUM(Y27:Y30)</f>
        <v>-422.652523333333</v>
      </c>
      <c r="Z31" s="43" t="n">
        <f aca="false">SUM(Z27:Z30)</f>
        <v>-888.397953333333</v>
      </c>
      <c r="AA31" s="43" t="n">
        <f aca="false">SUM(AA27:AA30)</f>
        <v>177.347476666667</v>
      </c>
      <c r="AB31" s="43" t="n">
        <f aca="false">SUM(AB27:AB30)</f>
        <v>177.347476666667</v>
      </c>
      <c r="AC31" s="43" t="n">
        <f aca="false">SUM(AC27:AC30)</f>
        <v>177.347476666667</v>
      </c>
      <c r="AD31" s="43" t="n">
        <f aca="false">SUM(AD27:AD30)</f>
        <v>177.347476666667</v>
      </c>
      <c r="AE31" s="43" t="n">
        <f aca="false">SUM(AE27:AE30)</f>
        <v>-549.297133333333</v>
      </c>
      <c r="AF31" s="43" t="n">
        <f aca="false">SUM(AF27:AF30)</f>
        <v>177.347476666667</v>
      </c>
      <c r="AG31" s="43" t="n">
        <f aca="false">SUM(AG27:AG30)</f>
        <v>177.347476666667</v>
      </c>
      <c r="AH31" s="43" t="n">
        <f aca="false">SUM(AH27:AH30)</f>
        <v>177.347476666667</v>
      </c>
    </row>
    <row r="32" customFormat="false" ht="15" hidden="false" customHeight="false" outlineLevel="0" collapsed="false">
      <c r="B32" s="19" t="s">
        <v>264</v>
      </c>
      <c r="C32" s="21"/>
      <c r="D32" s="21" t="n">
        <f aca="false">MIN(E32:AH32)</f>
        <v>8947.67084666666</v>
      </c>
      <c r="E32" s="21" t="n">
        <f aca="false">가정!$D$11+E31</f>
        <v>14222.1539166667</v>
      </c>
      <c r="F32" s="21" t="n">
        <f aca="false">E32+F31</f>
        <v>14399.5013933333</v>
      </c>
      <c r="G32" s="21" t="n">
        <f aca="false">F32+G31</f>
        <v>13850.20426</v>
      </c>
      <c r="H32" s="21" t="n">
        <f aca="false">G32+H31</f>
        <v>13264.7517366667</v>
      </c>
      <c r="I32" s="21" t="n">
        <f aca="false">H32+I31</f>
        <v>13442.0992133333</v>
      </c>
      <c r="J32" s="21" t="n">
        <f aca="false">I32+J31</f>
        <v>13619.44669</v>
      </c>
      <c r="K32" s="21" t="n">
        <f aca="false">J32+K31</f>
        <v>13796.7941666667</v>
      </c>
      <c r="L32" s="21" t="n">
        <f aca="false">K32+L31</f>
        <v>13974.1416433333</v>
      </c>
      <c r="M32" s="21" t="n">
        <f aca="false">L32+M31</f>
        <v>13007.28912</v>
      </c>
      <c r="N32" s="21" t="n">
        <f aca="false">M32+N31</f>
        <v>12118.8911666667</v>
      </c>
      <c r="O32" s="21" t="n">
        <f aca="false">N32+O31</f>
        <v>11296.2386433333</v>
      </c>
      <c r="P32" s="21" t="n">
        <f aca="false">O32+P31</f>
        <v>9566.58611999999</v>
      </c>
      <c r="Q32" s="21" t="n">
        <f aca="false">P32+Q31</f>
        <v>9743.93359666666</v>
      </c>
      <c r="R32" s="21" t="n">
        <f aca="false">Q32+R31</f>
        <v>9921.28107333333</v>
      </c>
      <c r="S32" s="21" t="n">
        <f aca="false">R32+S31</f>
        <v>9371.98393999999</v>
      </c>
      <c r="T32" s="21" t="n">
        <f aca="false">S32+T31</f>
        <v>9549.33141666666</v>
      </c>
      <c r="U32" s="21" t="n">
        <f aca="false">T32+U31</f>
        <v>9726.67889333333</v>
      </c>
      <c r="V32" s="21" t="n">
        <f aca="false">U32+V31</f>
        <v>9904.02636999999</v>
      </c>
      <c r="W32" s="21" t="n">
        <f aca="false">V32+W31</f>
        <v>10081.3738466667</v>
      </c>
      <c r="X32" s="21" t="n">
        <f aca="false">W32+X31</f>
        <v>10258.7213233333</v>
      </c>
      <c r="Y32" s="21" t="n">
        <f aca="false">X32+Y31</f>
        <v>9836.06879999999</v>
      </c>
      <c r="Z32" s="21" t="n">
        <f aca="false">Y32+Z31</f>
        <v>8947.67084666666</v>
      </c>
      <c r="AA32" s="21" t="n">
        <f aca="false">Z32+AA31</f>
        <v>9125.01832333332</v>
      </c>
      <c r="AB32" s="21" t="n">
        <f aca="false">AA32+AB31</f>
        <v>9302.36579999999</v>
      </c>
      <c r="AC32" s="21" t="n">
        <f aca="false">AB32+AC31</f>
        <v>9479.71327666665</v>
      </c>
      <c r="AD32" s="21" t="n">
        <f aca="false">AC32+AD31</f>
        <v>9657.06075333332</v>
      </c>
      <c r="AE32" s="21" t="n">
        <f aca="false">AD32+AE31</f>
        <v>9107.76361999999</v>
      </c>
      <c r="AF32" s="21" t="n">
        <f aca="false">AE32+AF31</f>
        <v>9285.11109666665</v>
      </c>
      <c r="AG32" s="21" t="n">
        <f aca="false">AF32+AG31</f>
        <v>9462.45857333332</v>
      </c>
      <c r="AH32" s="21" t="n">
        <f aca="false">AG32+AH31</f>
        <v>9639.80604999998</v>
      </c>
    </row>
    <row r="33" customFormat="false" ht="15" hidden="false" customHeight="false" outlineLevel="0" collapsed="false">
      <c r="B33" s="5" t="s">
        <v>265</v>
      </c>
      <c r="C33" s="11"/>
      <c r="D33" s="11" t="n">
        <f aca="false">MIN(E33:AH33)</f>
        <v>1341.87999333332</v>
      </c>
      <c r="E33" s="11" t="n">
        <f aca="false">E32-E$21</f>
        <v>6616.36306333333</v>
      </c>
      <c r="F33" s="11" t="n">
        <f aca="false">F32-F$21</f>
        <v>6793.71054</v>
      </c>
      <c r="G33" s="11" t="n">
        <f aca="false">G32-G$21</f>
        <v>6244.41340666667</v>
      </c>
      <c r="H33" s="11" t="n">
        <f aca="false">H32-H$21</f>
        <v>5658.96088333333</v>
      </c>
      <c r="I33" s="11" t="n">
        <f aca="false">I32-I$21</f>
        <v>5836.30836</v>
      </c>
      <c r="J33" s="11" t="n">
        <f aca="false">J32-J$21</f>
        <v>6013.65583666666</v>
      </c>
      <c r="K33" s="11" t="n">
        <f aca="false">K32-K$21</f>
        <v>6191.00331333333</v>
      </c>
      <c r="L33" s="11" t="n">
        <f aca="false">L32-L$21</f>
        <v>6368.35079</v>
      </c>
      <c r="M33" s="11" t="n">
        <f aca="false">M32-M$21</f>
        <v>5401.49826666666</v>
      </c>
      <c r="N33" s="11" t="n">
        <f aca="false">N32-N$21</f>
        <v>4513.10031333333</v>
      </c>
      <c r="O33" s="11" t="n">
        <f aca="false">O32-O$21</f>
        <v>3690.44779</v>
      </c>
      <c r="P33" s="11" t="n">
        <f aca="false">P32-P$21</f>
        <v>1960.79526666666</v>
      </c>
      <c r="Q33" s="11" t="n">
        <f aca="false">Q32-Q$21</f>
        <v>2138.14274333333</v>
      </c>
      <c r="R33" s="11" t="n">
        <f aca="false">R32-R$21</f>
        <v>2315.49021999999</v>
      </c>
      <c r="S33" s="11" t="n">
        <f aca="false">S32-S$21</f>
        <v>1766.19308666666</v>
      </c>
      <c r="T33" s="11" t="n">
        <f aca="false">T32-T$21</f>
        <v>1943.54056333333</v>
      </c>
      <c r="U33" s="11" t="n">
        <f aca="false">U32-U$21</f>
        <v>2120.88803999999</v>
      </c>
      <c r="V33" s="11" t="n">
        <f aca="false">V32-V$21</f>
        <v>2298.23551666666</v>
      </c>
      <c r="W33" s="11" t="n">
        <f aca="false">W32-W$21</f>
        <v>2475.58299333332</v>
      </c>
      <c r="X33" s="11" t="n">
        <f aca="false">X32-X$21</f>
        <v>2652.93046999999</v>
      </c>
      <c r="Y33" s="11" t="n">
        <f aca="false">Y32-Y$21</f>
        <v>2230.27794666666</v>
      </c>
      <c r="Z33" s="11" t="n">
        <f aca="false">Z32-Z$21</f>
        <v>1341.87999333332</v>
      </c>
      <c r="AA33" s="11" t="n">
        <f aca="false">AA32-AA$21</f>
        <v>1519.22746999999</v>
      </c>
      <c r="AB33" s="11" t="n">
        <f aca="false">AB32-AB$21</f>
        <v>1696.57494666665</v>
      </c>
      <c r="AC33" s="11" t="n">
        <f aca="false">AC32-AC$21</f>
        <v>1873.92242333332</v>
      </c>
      <c r="AD33" s="11" t="n">
        <f aca="false">AD32-AD$21</f>
        <v>2051.26989999999</v>
      </c>
      <c r="AE33" s="11" t="n">
        <f aca="false">AE32-AE$21</f>
        <v>1501.97276666665</v>
      </c>
      <c r="AF33" s="11" t="n">
        <f aca="false">AF32-AF$21</f>
        <v>1679.32024333332</v>
      </c>
      <c r="AG33" s="11" t="n">
        <f aca="false">AG32-AG$21</f>
        <v>1856.66771999998</v>
      </c>
      <c r="AH33" s="11" t="n">
        <f aca="false">AH32-AH$21</f>
        <v>2034.01519666665</v>
      </c>
    </row>
    <row r="34" customFormat="false" ht="15" hidden="false" customHeight="false" outlineLevel="0" collapsed="false">
      <c r="B34" s="5" t="s">
        <v>23</v>
      </c>
      <c r="C34" s="11"/>
      <c r="D34" s="11"/>
      <c r="E34" s="11" t="n">
        <f aca="false">가정!$D$11</f>
        <v>14044.80644</v>
      </c>
      <c r="F34" s="11" t="n">
        <f aca="false">E43</f>
        <v>14222.1539166667</v>
      </c>
      <c r="G34" s="11" t="n">
        <f aca="false">F43</f>
        <v>14399.5013933333</v>
      </c>
      <c r="H34" s="11" t="n">
        <f aca="false">G43</f>
        <v>13850.20426</v>
      </c>
      <c r="I34" s="11" t="n">
        <f aca="false">H43</f>
        <v>13257.0462572146</v>
      </c>
      <c r="J34" s="11" t="n">
        <f aca="false">I43</f>
        <v>13433.469076347</v>
      </c>
      <c r="K34" s="11" t="n">
        <f aca="false">J43</f>
        <v>13609.8610735616</v>
      </c>
      <c r="L34" s="11" t="n">
        <f aca="false">K43</f>
        <v>13786.2530707763</v>
      </c>
      <c r="M34" s="11" t="n">
        <f aca="false">L43</f>
        <v>13962.7375337443</v>
      </c>
      <c r="N34" s="11" t="n">
        <f aca="false">M43</f>
        <v>12994.9295309589</v>
      </c>
      <c r="O34" s="11" t="n">
        <f aca="false">N43</f>
        <v>12105.6069200913</v>
      </c>
      <c r="P34" s="11" t="n">
        <f aca="false">O43</f>
        <v>11281.9989173059</v>
      </c>
      <c r="Q34" s="11" t="n">
        <f aca="false">P43</f>
        <v>9551.42173643835</v>
      </c>
      <c r="R34" s="11" t="n">
        <f aca="false">Q43</f>
        <v>9727.81373365296</v>
      </c>
      <c r="S34" s="11" t="n">
        <f aca="false">R43</f>
        <v>9904.20573086757</v>
      </c>
      <c r="T34" s="11" t="n">
        <f aca="false">S43</f>
        <v>9353.98393999999</v>
      </c>
      <c r="U34" s="11" t="n">
        <f aca="false">T43</f>
        <v>9530.3759372146</v>
      </c>
      <c r="V34" s="11" t="n">
        <f aca="false">U43</f>
        <v>9706.79875634702</v>
      </c>
      <c r="W34" s="11" t="n">
        <f aca="false">V43</f>
        <v>9883.19075356163</v>
      </c>
      <c r="X34" s="11" t="n">
        <f aca="false">W43</f>
        <v>10059.5827507762</v>
      </c>
      <c r="Y34" s="11" t="n">
        <f aca="false">X43</f>
        <v>10236.0363918265</v>
      </c>
      <c r="Z34" s="11" t="n">
        <f aca="false">Y43</f>
        <v>9812.42838904108</v>
      </c>
      <c r="AA34" s="11" t="n">
        <f aca="false">Z43</f>
        <v>8923.1057781735</v>
      </c>
      <c r="AB34" s="11" t="n">
        <f aca="false">AA43</f>
        <v>9099.49777538811</v>
      </c>
      <c r="AC34" s="11" t="n">
        <f aca="false">AB43</f>
        <v>9275.92059452053</v>
      </c>
      <c r="AD34" s="11" t="n">
        <f aca="false">AC43</f>
        <v>9452.31259173514</v>
      </c>
      <c r="AE34" s="11" t="n">
        <f aca="false">AD43</f>
        <v>9628.70458894975</v>
      </c>
      <c r="AF34" s="11" t="n">
        <f aca="false">AE43</f>
        <v>9078.48279808217</v>
      </c>
      <c r="AG34" s="11" t="n">
        <f aca="false">AF43</f>
        <v>9255.83027474884</v>
      </c>
      <c r="AH34" s="11" t="n">
        <f aca="false">AG43</f>
        <v>9433.17775141551</v>
      </c>
    </row>
    <row r="35" customFormat="false" ht="15" hidden="false" customHeight="false" outlineLevel="0" collapsed="false">
      <c r="B35" s="5" t="s">
        <v>266</v>
      </c>
      <c r="C35" s="11"/>
      <c r="D35" s="11"/>
      <c r="E35" s="11" t="n">
        <f aca="false">E34+E31</f>
        <v>14222.1539166667</v>
      </c>
      <c r="F35" s="11" t="n">
        <f aca="false">F34+F31</f>
        <v>14399.5013933333</v>
      </c>
      <c r="G35" s="11" t="n">
        <f aca="false">G34+G31</f>
        <v>13850.20426</v>
      </c>
      <c r="H35" s="11" t="n">
        <f aca="false">H34+H31</f>
        <v>13264.7517366667</v>
      </c>
      <c r="I35" s="11" t="n">
        <f aca="false">I34+I31</f>
        <v>13434.3937338813</v>
      </c>
      <c r="J35" s="11" t="n">
        <f aca="false">J34+J31</f>
        <v>13610.8165530137</v>
      </c>
      <c r="K35" s="11" t="n">
        <f aca="false">K34+K31</f>
        <v>13787.2085502283</v>
      </c>
      <c r="L35" s="11" t="n">
        <f aca="false">L34+L31</f>
        <v>13963.6005474429</v>
      </c>
      <c r="M35" s="11" t="n">
        <f aca="false">M34+M31</f>
        <v>12995.885010411</v>
      </c>
      <c r="N35" s="11" t="n">
        <f aca="false">N34+N31</f>
        <v>12106.5315776256</v>
      </c>
      <c r="O35" s="11" t="n">
        <f aca="false">O34+O31</f>
        <v>11282.954396758</v>
      </c>
      <c r="P35" s="11" t="n">
        <f aca="false">P34+P31</f>
        <v>9552.3463939726</v>
      </c>
      <c r="Q35" s="11" t="n">
        <f aca="false">Q34+Q31</f>
        <v>9728.76921310502</v>
      </c>
      <c r="R35" s="11" t="n">
        <f aca="false">R34+R31</f>
        <v>9905.16121031963</v>
      </c>
      <c r="S35" s="11" t="n">
        <f aca="false">S34+S31</f>
        <v>9354.90859753424</v>
      </c>
      <c r="T35" s="11" t="n">
        <f aca="false">T34+T31</f>
        <v>9531.33141666666</v>
      </c>
      <c r="U35" s="11" t="n">
        <f aca="false">U34+U31</f>
        <v>9707.72341388127</v>
      </c>
      <c r="V35" s="11" t="n">
        <f aca="false">V34+V31</f>
        <v>9884.14623301369</v>
      </c>
      <c r="W35" s="11" t="n">
        <f aca="false">W34+W31</f>
        <v>10060.5382302283</v>
      </c>
      <c r="X35" s="11" t="n">
        <f aca="false">X34+X31</f>
        <v>10236.9302274429</v>
      </c>
      <c r="Y35" s="11" t="n">
        <f aca="false">Y34+Y31</f>
        <v>9813.38386849314</v>
      </c>
      <c r="Z35" s="11" t="n">
        <f aca="false">Z34+Z31</f>
        <v>8924.03043570775</v>
      </c>
      <c r="AA35" s="11" t="n">
        <f aca="false">AA34+AA31</f>
        <v>9100.45325484017</v>
      </c>
      <c r="AB35" s="11" t="n">
        <f aca="false">AB34+AB31</f>
        <v>9276.84525205478</v>
      </c>
      <c r="AC35" s="11" t="n">
        <f aca="false">AC34+AC31</f>
        <v>9453.2680711872</v>
      </c>
      <c r="AD35" s="11" t="n">
        <f aca="false">AD34+AD31</f>
        <v>9629.66006840181</v>
      </c>
      <c r="AE35" s="11" t="n">
        <f aca="false">AE34+AE31</f>
        <v>9079.40745561642</v>
      </c>
      <c r="AF35" s="11" t="n">
        <f aca="false">AF34+AF31</f>
        <v>9255.83027474884</v>
      </c>
      <c r="AG35" s="11" t="n">
        <f aca="false">AG34+AG31</f>
        <v>9433.17775141551</v>
      </c>
      <c r="AH35" s="11" t="n">
        <f aca="false">AH34+AH31</f>
        <v>9610.52522808217</v>
      </c>
    </row>
    <row r="36" customFormat="false" ht="15" hidden="false" customHeight="false" outlineLevel="0" collapsed="false">
      <c r="B36" s="5" t="s">
        <v>267</v>
      </c>
      <c r="C36" s="11"/>
      <c r="D36" s="11"/>
      <c r="E36" s="11" t="n">
        <f aca="false">0</f>
        <v>0</v>
      </c>
      <c r="F36" s="11" t="n">
        <f aca="false">E42</f>
        <v>0</v>
      </c>
      <c r="G36" s="11" t="n">
        <f aca="false">F42</f>
        <v>0</v>
      </c>
      <c r="H36" s="11" t="n">
        <f aca="false">G42</f>
        <v>0</v>
      </c>
      <c r="I36" s="11" t="n">
        <f aca="false">H42</f>
        <v>0</v>
      </c>
      <c r="J36" s="11" t="n">
        <f aca="false">I42</f>
        <v>0</v>
      </c>
      <c r="K36" s="11" t="n">
        <f aca="false">J42</f>
        <v>0</v>
      </c>
      <c r="L36" s="11" t="n">
        <f aca="false">K42</f>
        <v>0</v>
      </c>
      <c r="M36" s="11" t="n">
        <f aca="false">L42</f>
        <v>0</v>
      </c>
      <c r="N36" s="11" t="n">
        <f aca="false">M42</f>
        <v>0</v>
      </c>
      <c r="O36" s="11" t="n">
        <f aca="false">N42</f>
        <v>0</v>
      </c>
      <c r="P36" s="11" t="n">
        <f aca="false">O42</f>
        <v>0</v>
      </c>
      <c r="Q36" s="11" t="n">
        <f aca="false">P42</f>
        <v>0</v>
      </c>
      <c r="R36" s="11" t="n">
        <f aca="false">Q42</f>
        <v>0</v>
      </c>
      <c r="S36" s="11" t="n">
        <f aca="false">R42</f>
        <v>0</v>
      </c>
      <c r="T36" s="11" t="n">
        <f aca="false">S42</f>
        <v>0</v>
      </c>
      <c r="U36" s="11" t="n">
        <f aca="false">T42</f>
        <v>0</v>
      </c>
      <c r="V36" s="11" t="n">
        <f aca="false">U42</f>
        <v>0</v>
      </c>
      <c r="W36" s="11" t="n">
        <f aca="false">V42</f>
        <v>0</v>
      </c>
      <c r="X36" s="11" t="n">
        <f aca="false">W42</f>
        <v>0</v>
      </c>
      <c r="Y36" s="11" t="n">
        <f aca="false">X42</f>
        <v>0</v>
      </c>
      <c r="Z36" s="11" t="n">
        <f aca="false">Y42</f>
        <v>0</v>
      </c>
      <c r="AA36" s="11" t="n">
        <f aca="false">Z42</f>
        <v>0</v>
      </c>
      <c r="AB36" s="11" t="n">
        <f aca="false">AA42</f>
        <v>0</v>
      </c>
      <c r="AC36" s="11" t="n">
        <f aca="false">AB42</f>
        <v>0</v>
      </c>
      <c r="AD36" s="11" t="n">
        <f aca="false">AC42</f>
        <v>0</v>
      </c>
      <c r="AE36" s="11" t="n">
        <f aca="false">AD42</f>
        <v>0</v>
      </c>
      <c r="AF36" s="11" t="n">
        <f aca="false">AE42</f>
        <v>0</v>
      </c>
      <c r="AG36" s="11" t="n">
        <f aca="false">AF42</f>
        <v>0</v>
      </c>
      <c r="AH36" s="11" t="n">
        <f aca="false">AG42</f>
        <v>0</v>
      </c>
    </row>
    <row r="37" customFormat="false" ht="15" hidden="false" customHeight="false" outlineLevel="0" collapsed="false">
      <c r="B37" s="5" t="s">
        <v>268</v>
      </c>
      <c r="C37" s="11"/>
      <c r="D37" s="11"/>
      <c r="E37" s="11" t="n">
        <f aca="false">IF(E$19&gt;0,MAX(0,(E$21-E35+E36*가정!$D$66*E$7/365+MAX(0,E$19-E36)*가정!$D$67*E$7/365+E$20)/(1-가정!$D$66*E$7/365+가정!$D$67*E$7/365)),0)</f>
        <v>0</v>
      </c>
      <c r="F37" s="11" t="n">
        <f aca="false">IF(F$19&gt;0,MAX(0,(F$21-F35+F36*가정!$D$66*F$7/365+MAX(0,F$19-F36)*가정!$D$67*F$7/365+F$20)/(1-가정!$D$66*F$7/365+가정!$D$67*F$7/365)),0)</f>
        <v>0</v>
      </c>
      <c r="G37" s="11" t="n">
        <f aca="false">IF(G$19&gt;0,MAX(0,(G$21-G35+G36*가정!$D$66*G$7/365+MAX(0,G$19-G36)*가정!$D$67*G$7/365+G$20)/(1-가정!$D$66*G$7/365+가정!$D$67*G$7/365)),0)</f>
        <v>0</v>
      </c>
      <c r="H37" s="11" t="n">
        <f aca="false">IF(H$19&gt;0,MAX(0,(H$21-H35+H36*가정!$D$66*H$7/365+MAX(0,H$19-H36)*가정!$D$67*H$7/365+H$20)/(1-가정!$D$66*H$7/365+가정!$D$67*H$7/365)),0)</f>
        <v>0</v>
      </c>
      <c r="I37" s="11" t="n">
        <f aca="false">IF(I$19&gt;0,MAX(0,(I$21-I35+I36*가정!$D$66*I$7/365+MAX(0,I$19-I36)*가정!$D$67*I$7/365+I$20)/(1-가정!$D$66*I$7/365+가정!$D$67*I$7/365)),0)</f>
        <v>0</v>
      </c>
      <c r="J37" s="11" t="n">
        <f aca="false">IF(J$19&gt;0,MAX(0,(J$21-J35+J36*가정!$D$66*J$7/365+MAX(0,J$19-J36)*가정!$D$67*J$7/365+J$20)/(1-가정!$D$66*J$7/365+가정!$D$67*J$7/365)),0)</f>
        <v>0</v>
      </c>
      <c r="K37" s="11" t="n">
        <f aca="false">IF(K$19&gt;0,MAX(0,(K$21-K35+K36*가정!$D$66*K$7/365+MAX(0,K$19-K36)*가정!$D$67*K$7/365+K$20)/(1-가정!$D$66*K$7/365+가정!$D$67*K$7/365)),0)</f>
        <v>0</v>
      </c>
      <c r="L37" s="11" t="n">
        <f aca="false">IF(L$19&gt;0,MAX(0,(L$21-L35+L36*가정!$D$66*L$7/365+MAX(0,L$19-L36)*가정!$D$67*L$7/365+L$20)/(1-가정!$D$66*L$7/365+가정!$D$67*L$7/365)),0)</f>
        <v>0</v>
      </c>
      <c r="M37" s="11" t="n">
        <f aca="false">IF(M$19&gt;0,MAX(0,(M$21-M35+M36*가정!$D$66*M$7/365+MAX(0,M$19-M36)*가정!$D$67*M$7/365+M$20)/(1-가정!$D$66*M$7/365+가정!$D$67*M$7/365)),0)</f>
        <v>0</v>
      </c>
      <c r="N37" s="11" t="n">
        <f aca="false">IF(N$19&gt;0,MAX(0,(N$21-N35+N36*가정!$D$66*N$7/365+MAX(0,N$19-N36)*가정!$D$67*N$7/365+N$20)/(1-가정!$D$66*N$7/365+가정!$D$67*N$7/365)),0)</f>
        <v>0</v>
      </c>
      <c r="O37" s="11" t="n">
        <f aca="false">IF(O$19&gt;0,MAX(0,(O$21-O35+O36*가정!$D$66*O$7/365+MAX(0,O$19-O36)*가정!$D$67*O$7/365+O$20)/(1-가정!$D$66*O$7/365+가정!$D$67*O$7/365)),0)</f>
        <v>0</v>
      </c>
      <c r="P37" s="11" t="n">
        <f aca="false">IF(P$19&gt;0,MAX(0,(P$21-P35+P36*가정!$D$66*P$7/365+MAX(0,P$19-P36)*가정!$D$67*P$7/365+P$20)/(1-가정!$D$66*P$7/365+가정!$D$67*P$7/365)),0)</f>
        <v>0</v>
      </c>
      <c r="Q37" s="11" t="n">
        <f aca="false">IF(Q$19&gt;0,MAX(0,(Q$21-Q35+Q36*가정!$D$66*Q$7/365+MAX(0,Q$19-Q36)*가정!$D$67*Q$7/365+Q$20)/(1-가정!$D$66*Q$7/365+가정!$D$67*Q$7/365)),0)</f>
        <v>0</v>
      </c>
      <c r="R37" s="11" t="n">
        <f aca="false">IF(R$19&gt;0,MAX(0,(R$21-R35+R36*가정!$D$66*R$7/365+MAX(0,R$19-R36)*가정!$D$67*R$7/365+R$20)/(1-가정!$D$66*R$7/365+가정!$D$67*R$7/365)),0)</f>
        <v>0</v>
      </c>
      <c r="S37" s="11" t="n">
        <f aca="false">IF(S$19&gt;0,MAX(0,(S$21-S35+S36*가정!$D$66*S$7/365+MAX(0,S$19-S36)*가정!$D$67*S$7/365+S$20)/(1-가정!$D$66*S$7/365+가정!$D$67*S$7/365)),0)</f>
        <v>0</v>
      </c>
      <c r="T37" s="11" t="n">
        <f aca="false">IF(T$19&gt;0,MAX(0,(T$21-T35+T36*가정!$D$66*T$7/365+MAX(0,T$19-T36)*가정!$D$67*T$7/365+T$20)/(1-가정!$D$66*T$7/365+가정!$D$67*T$7/365)),0)</f>
        <v>0</v>
      </c>
      <c r="U37" s="11" t="n">
        <f aca="false">IF(U$19&gt;0,MAX(0,(U$21-U35+U36*가정!$D$66*U$7/365+MAX(0,U$19-U36)*가정!$D$67*U$7/365+U$20)/(1-가정!$D$66*U$7/365+가정!$D$67*U$7/365)),0)</f>
        <v>0</v>
      </c>
      <c r="V37" s="11" t="n">
        <f aca="false">IF(V$19&gt;0,MAX(0,(V$21-V35+V36*가정!$D$66*V$7/365+MAX(0,V$19-V36)*가정!$D$67*V$7/365+V$20)/(1-가정!$D$66*V$7/365+가정!$D$67*V$7/365)),0)</f>
        <v>0</v>
      </c>
      <c r="W37" s="11" t="n">
        <f aca="false">IF(W$19&gt;0,MAX(0,(W$21-W35+W36*가정!$D$66*W$7/365+MAX(0,W$19-W36)*가정!$D$67*W$7/365+W$20)/(1-가정!$D$66*W$7/365+가정!$D$67*W$7/365)),0)</f>
        <v>0</v>
      </c>
      <c r="X37" s="11" t="n">
        <f aca="false">IF(X$19&gt;0,MAX(0,(X$21-X35+X36*가정!$D$66*X$7/365+MAX(0,X$19-X36)*가정!$D$67*X$7/365+X$20)/(1-가정!$D$66*X$7/365+가정!$D$67*X$7/365)),0)</f>
        <v>0</v>
      </c>
      <c r="Y37" s="11" t="n">
        <f aca="false">IF(Y$19&gt;0,MAX(0,(Y$21-Y35+Y36*가정!$D$66*Y$7/365+MAX(0,Y$19-Y36)*가정!$D$67*Y$7/365+Y$20)/(1-가정!$D$66*Y$7/365+가정!$D$67*Y$7/365)),0)</f>
        <v>0</v>
      </c>
      <c r="Z37" s="11" t="n">
        <f aca="false">IF(Z$19&gt;0,MAX(0,(Z$21-Z35+Z36*가정!$D$66*Z$7/365+MAX(0,Z$19-Z36)*가정!$D$67*Z$7/365+Z$20)/(1-가정!$D$66*Z$7/365+가정!$D$67*Z$7/365)),0)</f>
        <v>0</v>
      </c>
      <c r="AA37" s="11" t="n">
        <f aca="false">IF(AA$19&gt;0,MAX(0,(AA$21-AA35+AA36*가정!$D$66*AA$7/365+MAX(0,AA$19-AA36)*가정!$D$67*AA$7/365+AA$20)/(1-가정!$D$66*AA$7/365+가정!$D$67*AA$7/365)),0)</f>
        <v>0</v>
      </c>
      <c r="AB37" s="11" t="n">
        <f aca="false">IF(AB$19&gt;0,MAX(0,(AB$21-AB35+AB36*가정!$D$66*AB$7/365+MAX(0,AB$19-AB36)*가정!$D$67*AB$7/365+AB$20)/(1-가정!$D$66*AB$7/365+가정!$D$67*AB$7/365)),0)</f>
        <v>0</v>
      </c>
      <c r="AC37" s="11" t="n">
        <f aca="false">IF(AC$19&gt;0,MAX(0,(AC$21-AC35+AC36*가정!$D$66*AC$7/365+MAX(0,AC$19-AC36)*가정!$D$67*AC$7/365+AC$20)/(1-가정!$D$66*AC$7/365+가정!$D$67*AC$7/365)),0)</f>
        <v>0</v>
      </c>
      <c r="AD37" s="11" t="n">
        <f aca="false">IF(AD$19&gt;0,MAX(0,(AD$21-AD35+AD36*가정!$D$66*AD$7/365+MAX(0,AD$19-AD36)*가정!$D$67*AD$7/365+AD$20)/(1-가정!$D$66*AD$7/365+가정!$D$67*AD$7/365)),0)</f>
        <v>0</v>
      </c>
      <c r="AE37" s="11" t="n">
        <f aca="false">IF(AE$19&gt;0,MAX(0,(AE$21-AE35+AE36*가정!$D$66*AE$7/365+MAX(0,AE$19-AE36)*가정!$D$67*AE$7/365+AE$20)/(1-가정!$D$66*AE$7/365+가정!$D$67*AE$7/365)),0)</f>
        <v>0</v>
      </c>
      <c r="AF37" s="11" t="n">
        <f aca="false">IF(AF$19&gt;0,MAX(0,(AF$21-AF35+AF36*가정!$D$66*AF$7/365+MAX(0,AF$19-AF36)*가정!$D$67*AF$7/365+AF$20)/(1-가정!$D$66*AF$7/365+가정!$D$67*AF$7/365)),0)</f>
        <v>0</v>
      </c>
      <c r="AG37" s="11" t="n">
        <f aca="false">IF(AG$19&gt;0,MAX(0,(AG$21-AG35+AG36*가정!$D$66*AG$7/365+MAX(0,AG$19-AG36)*가정!$D$67*AG$7/365+AG$20)/(1-가정!$D$66*AG$7/365+가정!$D$67*AG$7/365)),0)</f>
        <v>0</v>
      </c>
      <c r="AH37" s="11" t="n">
        <f aca="false">IF(AH$19&gt;0,MAX(0,(AH$21-AH35+AH36*가정!$D$66*AH$7/365+MAX(0,AH$19-AH36)*가정!$D$67*AH$7/365+AH$20)/(1-가정!$D$66*AH$7/365+가정!$D$67*AH$7/365)),0)</f>
        <v>0</v>
      </c>
    </row>
    <row r="38" customFormat="false" ht="15" hidden="false" customHeight="false" outlineLevel="0" collapsed="false">
      <c r="B38" s="19" t="s">
        <v>269</v>
      </c>
      <c r="C38" s="21" t="n">
        <f aca="false">SUM(E38:AH38)</f>
        <v>0</v>
      </c>
      <c r="D38" s="21"/>
      <c r="E38" s="21" t="n">
        <f aca="false">MIN(MAX(0,E$19-E36),E37)</f>
        <v>0</v>
      </c>
      <c r="F38" s="21" t="n">
        <f aca="false">MIN(MAX(0,F$19-F36),F37)</f>
        <v>0</v>
      </c>
      <c r="G38" s="21" t="n">
        <f aca="false">MIN(MAX(0,G$19-G36),G37)</f>
        <v>0</v>
      </c>
      <c r="H38" s="21" t="n">
        <f aca="false">MIN(MAX(0,H$19-H36),H37)</f>
        <v>0</v>
      </c>
      <c r="I38" s="21" t="n">
        <f aca="false">MIN(MAX(0,I$19-I36),I37)</f>
        <v>0</v>
      </c>
      <c r="J38" s="21" t="n">
        <f aca="false">MIN(MAX(0,J$19-J36),J37)</f>
        <v>0</v>
      </c>
      <c r="K38" s="21" t="n">
        <f aca="false">MIN(MAX(0,K$19-K36),K37)</f>
        <v>0</v>
      </c>
      <c r="L38" s="21" t="n">
        <f aca="false">MIN(MAX(0,L$19-L36),L37)</f>
        <v>0</v>
      </c>
      <c r="M38" s="21" t="n">
        <f aca="false">MIN(MAX(0,M$19-M36),M37)</f>
        <v>0</v>
      </c>
      <c r="N38" s="21" t="n">
        <f aca="false">MIN(MAX(0,N$19-N36),N37)</f>
        <v>0</v>
      </c>
      <c r="O38" s="21" t="n">
        <f aca="false">MIN(MAX(0,O$19-O36),O37)</f>
        <v>0</v>
      </c>
      <c r="P38" s="21" t="n">
        <f aca="false">MIN(MAX(0,P$19-P36),P37)</f>
        <v>0</v>
      </c>
      <c r="Q38" s="21" t="n">
        <f aca="false">MIN(MAX(0,Q$19-Q36),Q37)</f>
        <v>0</v>
      </c>
      <c r="R38" s="21" t="n">
        <f aca="false">MIN(MAX(0,R$19-R36),R37)</f>
        <v>0</v>
      </c>
      <c r="S38" s="21" t="n">
        <f aca="false">MIN(MAX(0,S$19-S36),S37)</f>
        <v>0</v>
      </c>
      <c r="T38" s="21" t="n">
        <f aca="false">MIN(MAX(0,T$19-T36),T37)</f>
        <v>0</v>
      </c>
      <c r="U38" s="21" t="n">
        <f aca="false">MIN(MAX(0,U$19-U36),U37)</f>
        <v>0</v>
      </c>
      <c r="V38" s="21" t="n">
        <f aca="false">MIN(MAX(0,V$19-V36),V37)</f>
        <v>0</v>
      </c>
      <c r="W38" s="21" t="n">
        <f aca="false">MIN(MAX(0,W$19-W36),W37)</f>
        <v>0</v>
      </c>
      <c r="X38" s="21" t="n">
        <f aca="false">MIN(MAX(0,X$19-X36),X37)</f>
        <v>0</v>
      </c>
      <c r="Y38" s="21" t="n">
        <f aca="false">MIN(MAX(0,Y$19-Y36),Y37)</f>
        <v>0</v>
      </c>
      <c r="Z38" s="21" t="n">
        <f aca="false">MIN(MAX(0,Z$19-Z36),Z37)</f>
        <v>0</v>
      </c>
      <c r="AA38" s="21" t="n">
        <f aca="false">MIN(MAX(0,AA$19-AA36),AA37)</f>
        <v>0</v>
      </c>
      <c r="AB38" s="21" t="n">
        <f aca="false">MIN(MAX(0,AB$19-AB36),AB37)</f>
        <v>0</v>
      </c>
      <c r="AC38" s="21" t="n">
        <f aca="false">MIN(MAX(0,AC$19-AC36),AC37)</f>
        <v>0</v>
      </c>
      <c r="AD38" s="21" t="n">
        <f aca="false">MIN(MAX(0,AD$19-AD36),AD37)</f>
        <v>0</v>
      </c>
      <c r="AE38" s="21" t="n">
        <f aca="false">MIN(MAX(0,AE$19-AE36),AE37)</f>
        <v>0</v>
      </c>
      <c r="AF38" s="21" t="n">
        <f aca="false">MIN(MAX(0,AF$19-AF36),AF37)</f>
        <v>0</v>
      </c>
      <c r="AG38" s="21" t="n">
        <f aca="false">MIN(MAX(0,AG$19-AG36),AG37)</f>
        <v>0</v>
      </c>
      <c r="AH38" s="21" t="n">
        <f aca="false">MIN(MAX(0,AH$19-AH36),AH37)</f>
        <v>0</v>
      </c>
    </row>
    <row r="39" customFormat="false" ht="15" hidden="false" customHeight="false" outlineLevel="0" collapsed="false">
      <c r="B39" s="5" t="s">
        <v>270</v>
      </c>
      <c r="C39" s="11" t="n">
        <f aca="false">SUM(E39:AH39)</f>
        <v>0</v>
      </c>
      <c r="D39" s="11"/>
      <c r="E39" s="11" t="n">
        <f aca="false">(E36+E38)*가정!$D$66*E$7/365</f>
        <v>0</v>
      </c>
      <c r="F39" s="11" t="n">
        <f aca="false">(F36+F38)*가정!$D$66*F$7/365</f>
        <v>0</v>
      </c>
      <c r="G39" s="11" t="n">
        <f aca="false">(G36+G38)*가정!$D$66*G$7/365</f>
        <v>0</v>
      </c>
      <c r="H39" s="11" t="n">
        <f aca="false">(H36+H38)*가정!$D$66*H$7/365</f>
        <v>0</v>
      </c>
      <c r="I39" s="11" t="n">
        <f aca="false">(I36+I38)*가정!$D$66*I$7/365</f>
        <v>0</v>
      </c>
      <c r="J39" s="11" t="n">
        <f aca="false">(J36+J38)*가정!$D$66*J$7/365</f>
        <v>0</v>
      </c>
      <c r="K39" s="11" t="n">
        <f aca="false">(K36+K38)*가정!$D$66*K$7/365</f>
        <v>0</v>
      </c>
      <c r="L39" s="11" t="n">
        <f aca="false">(L36+L38)*가정!$D$66*L$7/365</f>
        <v>0</v>
      </c>
      <c r="M39" s="11" t="n">
        <f aca="false">(M36+M38)*가정!$D$66*M$7/365</f>
        <v>0</v>
      </c>
      <c r="N39" s="11" t="n">
        <f aca="false">(N36+N38)*가정!$D$66*N$7/365</f>
        <v>0</v>
      </c>
      <c r="O39" s="11" t="n">
        <f aca="false">(O36+O38)*가정!$D$66*O$7/365</f>
        <v>0</v>
      </c>
      <c r="P39" s="11" t="n">
        <f aca="false">(P36+P38)*가정!$D$66*P$7/365</f>
        <v>0</v>
      </c>
      <c r="Q39" s="11" t="n">
        <f aca="false">(Q36+Q38)*가정!$D$66*Q$7/365</f>
        <v>0</v>
      </c>
      <c r="R39" s="11" t="n">
        <f aca="false">(R36+R38)*가정!$D$66*R$7/365</f>
        <v>0</v>
      </c>
      <c r="S39" s="11" t="n">
        <f aca="false">(S36+S38)*가정!$D$66*S$7/365</f>
        <v>0</v>
      </c>
      <c r="T39" s="11" t="n">
        <f aca="false">(T36+T38)*가정!$D$66*T$7/365</f>
        <v>0</v>
      </c>
      <c r="U39" s="11" t="n">
        <f aca="false">(U36+U38)*가정!$D$66*U$7/365</f>
        <v>0</v>
      </c>
      <c r="V39" s="11" t="n">
        <f aca="false">(V36+V38)*가정!$D$66*V$7/365</f>
        <v>0</v>
      </c>
      <c r="W39" s="11" t="n">
        <f aca="false">(W36+W38)*가정!$D$66*W$7/365</f>
        <v>0</v>
      </c>
      <c r="X39" s="11" t="n">
        <f aca="false">(X36+X38)*가정!$D$66*X$7/365</f>
        <v>0</v>
      </c>
      <c r="Y39" s="11" t="n">
        <f aca="false">(Y36+Y38)*가정!$D$66*Y$7/365</f>
        <v>0</v>
      </c>
      <c r="Z39" s="11" t="n">
        <f aca="false">(Z36+Z38)*가정!$D$66*Z$7/365</f>
        <v>0</v>
      </c>
      <c r="AA39" s="11" t="n">
        <f aca="false">(AA36+AA38)*가정!$D$66*AA$7/365</f>
        <v>0</v>
      </c>
      <c r="AB39" s="11" t="n">
        <f aca="false">(AB36+AB38)*가정!$D$66*AB$7/365</f>
        <v>0</v>
      </c>
      <c r="AC39" s="11" t="n">
        <f aca="false">(AC36+AC38)*가정!$D$66*AC$7/365</f>
        <v>0</v>
      </c>
      <c r="AD39" s="11" t="n">
        <f aca="false">(AD36+AD38)*가정!$D$66*AD$7/365</f>
        <v>0</v>
      </c>
      <c r="AE39" s="11" t="n">
        <f aca="false">(AE36+AE38)*가정!$D$66*AE$7/365</f>
        <v>0</v>
      </c>
      <c r="AF39" s="11" t="n">
        <f aca="false">(AF36+AF38)*가정!$D$66*AF$7/365</f>
        <v>0</v>
      </c>
      <c r="AG39" s="11" t="n">
        <f aca="false">(AG36+AG38)*가정!$D$66*AG$7/365</f>
        <v>0</v>
      </c>
      <c r="AH39" s="11" t="n">
        <f aca="false">(AH36+AH38)*가정!$D$66*AH$7/365</f>
        <v>0</v>
      </c>
    </row>
    <row r="40" customFormat="false" ht="15" hidden="false" customHeight="false" outlineLevel="0" collapsed="false">
      <c r="B40" s="5" t="s">
        <v>19</v>
      </c>
      <c r="C40" s="11" t="n">
        <f aca="false">SUM(E40:AH40)</f>
        <v>22.5308219178082</v>
      </c>
      <c r="D40" s="11"/>
      <c r="E40" s="11" t="n">
        <f aca="false">MAX(0,E$19-E36-E38)*가정!$D$67*E$7/365</f>
        <v>0</v>
      </c>
      <c r="F40" s="11" t="n">
        <f aca="false">MAX(0,F$19-F36-F38)*가정!$D$67*F$7/365</f>
        <v>0</v>
      </c>
      <c r="G40" s="11" t="n">
        <f aca="false">MAX(0,G$19-G36-G38)*가정!$D$67*G$7/365</f>
        <v>0</v>
      </c>
      <c r="H40" s="11" t="n">
        <f aca="false">MAX(0,H$19-H36-H38)*가정!$D$67*H$7/365</f>
        <v>0.955479452054795</v>
      </c>
      <c r="I40" s="11" t="n">
        <f aca="false">MAX(0,I$19-I36-I38)*가정!$D$67*I$7/365</f>
        <v>0.924657534246575</v>
      </c>
      <c r="J40" s="11" t="n">
        <f aca="false">MAX(0,J$19-J36-J38)*가정!$D$67*J$7/365</f>
        <v>0.955479452054795</v>
      </c>
      <c r="K40" s="11" t="n">
        <f aca="false">MAX(0,K$19-K36-K38)*가정!$D$67*K$7/365</f>
        <v>0.955479452054795</v>
      </c>
      <c r="L40" s="11" t="n">
        <f aca="false">MAX(0,L$19-L36-L38)*가정!$D$67*L$7/365</f>
        <v>0.863013698630137</v>
      </c>
      <c r="M40" s="11" t="n">
        <f aca="false">MAX(0,M$19-M36-M38)*가정!$D$67*M$7/365</f>
        <v>0.955479452054795</v>
      </c>
      <c r="N40" s="11" t="n">
        <f aca="false">MAX(0,N$19-N36-N38)*가정!$D$67*N$7/365</f>
        <v>0.924657534246575</v>
      </c>
      <c r="O40" s="11" t="n">
        <f aca="false">MAX(0,O$19-O36-O38)*가정!$D$67*O$7/365</f>
        <v>0.955479452054795</v>
      </c>
      <c r="P40" s="11" t="n">
        <f aca="false">MAX(0,P$19-P36-P38)*가정!$D$67*P$7/365</f>
        <v>0.924657534246575</v>
      </c>
      <c r="Q40" s="11" t="n">
        <f aca="false">MAX(0,Q$19-Q36-Q38)*가정!$D$67*Q$7/365</f>
        <v>0.955479452054795</v>
      </c>
      <c r="R40" s="11" t="n">
        <f aca="false">MAX(0,R$19-R36-R38)*가정!$D$67*R$7/365</f>
        <v>0.955479452054795</v>
      </c>
      <c r="S40" s="11" t="n">
        <f aca="false">MAX(0,S$19-S36-S38)*가정!$D$67*S$7/365</f>
        <v>0.924657534246575</v>
      </c>
      <c r="T40" s="11" t="n">
        <f aca="false">MAX(0,T$19-T36-T38)*가정!$D$67*T$7/365</f>
        <v>0.955479452054795</v>
      </c>
      <c r="U40" s="11" t="n">
        <f aca="false">MAX(0,U$19-U36-U38)*가정!$D$67*U$7/365</f>
        <v>0.924657534246575</v>
      </c>
      <c r="V40" s="11" t="n">
        <f aca="false">MAX(0,V$19-V36-V38)*가정!$D$67*V$7/365</f>
        <v>0.955479452054795</v>
      </c>
      <c r="W40" s="11" t="n">
        <f aca="false">MAX(0,W$19-W36-W38)*가정!$D$67*W$7/365</f>
        <v>0.955479452054795</v>
      </c>
      <c r="X40" s="11" t="n">
        <f aca="false">MAX(0,X$19-X36-X38)*가정!$D$67*X$7/365</f>
        <v>0.893835616438356</v>
      </c>
      <c r="Y40" s="11" t="n">
        <f aca="false">MAX(0,Y$19-Y36-Y38)*가정!$D$67*Y$7/365</f>
        <v>0.955479452054795</v>
      </c>
      <c r="Z40" s="11" t="n">
        <f aca="false">MAX(0,Z$19-Z36-Z38)*가정!$D$67*Z$7/365</f>
        <v>0.924657534246575</v>
      </c>
      <c r="AA40" s="11" t="n">
        <f aca="false">MAX(0,AA$19-AA36-AA38)*가정!$D$67*AA$7/365</f>
        <v>0.955479452054795</v>
      </c>
      <c r="AB40" s="11" t="n">
        <f aca="false">MAX(0,AB$19-AB36-AB38)*가정!$D$67*AB$7/365</f>
        <v>0.924657534246575</v>
      </c>
      <c r="AC40" s="11" t="n">
        <f aca="false">MAX(0,AC$19-AC36-AC38)*가정!$D$67*AC$7/365</f>
        <v>0.955479452054795</v>
      </c>
      <c r="AD40" s="11" t="n">
        <f aca="false">MAX(0,AD$19-AD36-AD38)*가정!$D$67*AD$7/365</f>
        <v>0.955479452054795</v>
      </c>
      <c r="AE40" s="11" t="n">
        <f aca="false">MAX(0,AE$19-AE36-AE38)*가정!$D$67*AE$7/365</f>
        <v>0.924657534246575</v>
      </c>
      <c r="AF40" s="11" t="n">
        <f aca="false">MAX(0,AF$19-AF36-AF38)*가정!$D$67*AF$7/365</f>
        <v>0</v>
      </c>
      <c r="AG40" s="11" t="n">
        <f aca="false">MAX(0,AG$19-AG36-AG38)*가정!$D$67*AG$7/365</f>
        <v>0</v>
      </c>
      <c r="AH40" s="11" t="n">
        <f aca="false">MAX(0,AH$19-AH36-AH38)*가정!$D$67*AH$7/365</f>
        <v>0</v>
      </c>
    </row>
    <row r="41" customFormat="false" ht="15" hidden="false" customHeight="false" outlineLevel="0" collapsed="false">
      <c r="B41" s="5" t="s">
        <v>271</v>
      </c>
      <c r="C41" s="11" t="n">
        <f aca="false">SUM(E41:AH41)</f>
        <v>0</v>
      </c>
      <c r="D41" s="11"/>
      <c r="E41" s="11" t="n">
        <f aca="false">IF(E$6=EOMONTH(가정!$C$70,0),E36+E38,MIN(E36+E38,MAX(0,E35+E38-E$20-E39-E40-E$21)))</f>
        <v>0</v>
      </c>
      <c r="F41" s="11" t="n">
        <f aca="false">IF(F$6=EOMONTH(가정!$C$70,0),F36+F38,MIN(F36+F38,MAX(0,F35+F38-F$20-F39-F40-F$21)))</f>
        <v>0</v>
      </c>
      <c r="G41" s="11" t="n">
        <f aca="false">IF(G$6=EOMONTH(가정!$C$70,0),G36+G38,MIN(G36+G38,MAX(0,G35+G38-G$20-G39-G40-G$21)))</f>
        <v>0</v>
      </c>
      <c r="H41" s="11" t="n">
        <f aca="false">IF(H$6=EOMONTH(가정!$C$70,0),H36+H38,MIN(H36+H38,MAX(0,H35+H38-H$20-H39-H40-H$21)))</f>
        <v>0</v>
      </c>
      <c r="I41" s="11" t="n">
        <f aca="false">IF(I$6=EOMONTH(가정!$C$70,0),I36+I38,MIN(I36+I38,MAX(0,I35+I38-I$20-I39-I40-I$21)))</f>
        <v>0</v>
      </c>
      <c r="J41" s="11" t="n">
        <f aca="false">IF(J$6=EOMONTH(가정!$C$70,0),J36+J38,MIN(J36+J38,MAX(0,J35+J38-J$20-J39-J40-J$21)))</f>
        <v>0</v>
      </c>
      <c r="K41" s="11" t="n">
        <f aca="false">IF(K$6=EOMONTH(가정!$C$70,0),K36+K38,MIN(K36+K38,MAX(0,K35+K38-K$20-K39-K40-K$21)))</f>
        <v>0</v>
      </c>
      <c r="L41" s="11" t="n">
        <f aca="false">IF(L$6=EOMONTH(가정!$C$70,0),L36+L38,MIN(L36+L38,MAX(0,L35+L38-L$20-L39-L40-L$21)))</f>
        <v>0</v>
      </c>
      <c r="M41" s="11" t="n">
        <f aca="false">IF(M$6=EOMONTH(가정!$C$70,0),M36+M38,MIN(M36+M38,MAX(0,M35+M38-M$20-M39-M40-M$21)))</f>
        <v>0</v>
      </c>
      <c r="N41" s="11" t="n">
        <f aca="false">IF(N$6=EOMONTH(가정!$C$70,0),N36+N38,MIN(N36+N38,MAX(0,N35+N38-N$20-N39-N40-N$21)))</f>
        <v>0</v>
      </c>
      <c r="O41" s="11" t="n">
        <f aca="false">IF(O$6=EOMONTH(가정!$C$70,0),O36+O38,MIN(O36+O38,MAX(0,O35+O38-O$20-O39-O40-O$21)))</f>
        <v>0</v>
      </c>
      <c r="P41" s="11" t="n">
        <f aca="false">IF(P$6=EOMONTH(가정!$C$70,0),P36+P38,MIN(P36+P38,MAX(0,P35+P38-P$20-P39-P40-P$21)))</f>
        <v>0</v>
      </c>
      <c r="Q41" s="11" t="n">
        <f aca="false">IF(Q$6=EOMONTH(가정!$C$70,0),Q36+Q38,MIN(Q36+Q38,MAX(0,Q35+Q38-Q$20-Q39-Q40-Q$21)))</f>
        <v>0</v>
      </c>
      <c r="R41" s="11" t="n">
        <f aca="false">IF(R$6=EOMONTH(가정!$C$70,0),R36+R38,MIN(R36+R38,MAX(0,R35+R38-R$20-R39-R40-R$21)))</f>
        <v>0</v>
      </c>
      <c r="S41" s="11" t="n">
        <f aca="false">IF(S$6=EOMONTH(가정!$C$70,0),S36+S38,MIN(S36+S38,MAX(0,S35+S38-S$20-S39-S40-S$21)))</f>
        <v>0</v>
      </c>
      <c r="T41" s="11" t="n">
        <f aca="false">IF(T$6=EOMONTH(가정!$C$70,0),T36+T38,MIN(T36+T38,MAX(0,T35+T38-T$20-T39-T40-T$21)))</f>
        <v>0</v>
      </c>
      <c r="U41" s="11" t="n">
        <f aca="false">IF(U$6=EOMONTH(가정!$C$70,0),U36+U38,MIN(U36+U38,MAX(0,U35+U38-U$20-U39-U40-U$21)))</f>
        <v>0</v>
      </c>
      <c r="V41" s="11" t="n">
        <f aca="false">IF(V$6=EOMONTH(가정!$C$70,0),V36+V38,MIN(V36+V38,MAX(0,V35+V38-V$20-V39-V40-V$21)))</f>
        <v>0</v>
      </c>
      <c r="W41" s="11" t="n">
        <f aca="false">IF(W$6=EOMONTH(가정!$C$70,0),W36+W38,MIN(W36+W38,MAX(0,W35+W38-W$20-W39-W40-W$21)))</f>
        <v>0</v>
      </c>
      <c r="X41" s="11" t="n">
        <f aca="false">IF(X$6=EOMONTH(가정!$C$70,0),X36+X38,MIN(X36+X38,MAX(0,X35+X38-X$20-X39-X40-X$21)))</f>
        <v>0</v>
      </c>
      <c r="Y41" s="11" t="n">
        <f aca="false">IF(Y$6=EOMONTH(가정!$C$70,0),Y36+Y38,MIN(Y36+Y38,MAX(0,Y35+Y38-Y$20-Y39-Y40-Y$21)))</f>
        <v>0</v>
      </c>
      <c r="Z41" s="11" t="n">
        <f aca="false">IF(Z$6=EOMONTH(가정!$C$70,0),Z36+Z38,MIN(Z36+Z38,MAX(0,Z35+Z38-Z$20-Z39-Z40-Z$21)))</f>
        <v>0</v>
      </c>
      <c r="AA41" s="11" t="n">
        <f aca="false">IF(AA$6=EOMONTH(가정!$C$70,0),AA36+AA38,MIN(AA36+AA38,MAX(0,AA35+AA38-AA$20-AA39-AA40-AA$21)))</f>
        <v>0</v>
      </c>
      <c r="AB41" s="11" t="n">
        <f aca="false">IF(AB$6=EOMONTH(가정!$C$70,0),AB36+AB38,MIN(AB36+AB38,MAX(0,AB35+AB38-AB$20-AB39-AB40-AB$21)))</f>
        <v>0</v>
      </c>
      <c r="AC41" s="11" t="n">
        <f aca="false">IF(AC$6=EOMONTH(가정!$C$70,0),AC36+AC38,MIN(AC36+AC38,MAX(0,AC35+AC38-AC$20-AC39-AC40-AC$21)))</f>
        <v>0</v>
      </c>
      <c r="AD41" s="11" t="n">
        <f aca="false">IF(AD$6=EOMONTH(가정!$C$70,0),AD36+AD38,MIN(AD36+AD38,MAX(0,AD35+AD38-AD$20-AD39-AD40-AD$21)))</f>
        <v>0</v>
      </c>
      <c r="AE41" s="11" t="n">
        <f aca="false">IF(AE$6=EOMONTH(가정!$C$70,0),AE36+AE38,MIN(AE36+AE38,MAX(0,AE35+AE38-AE$20-AE39-AE40-AE$21)))</f>
        <v>0</v>
      </c>
      <c r="AF41" s="11" t="n">
        <f aca="false">IF(AF$6=EOMONTH(가정!$C$70,0),AF36+AF38,MIN(AF36+AF38,MAX(0,AF35+AF38-AF$20-AF39-AF40-AF$21)))</f>
        <v>0</v>
      </c>
      <c r="AG41" s="11" t="n">
        <f aca="false">IF(AG$6=EOMONTH(가정!$C$70,0),AG36+AG38,MIN(AG36+AG38,MAX(0,AG35+AG38-AG$20-AG39-AG40-AG$21)))</f>
        <v>0</v>
      </c>
      <c r="AH41" s="11" t="n">
        <f aca="false">IF(AH$6=EOMONTH(가정!$C$70,0),AH36+AH38,MIN(AH36+AH38,MAX(0,AH35+AH38-AH$20-AH39-AH40-AH$21)))</f>
        <v>0</v>
      </c>
    </row>
    <row r="42" customFormat="false" ht="15" hidden="false" customHeight="false" outlineLevel="0" collapsed="false">
      <c r="B42" s="19" t="s">
        <v>272</v>
      </c>
      <c r="C42" s="21"/>
      <c r="D42" s="21"/>
      <c r="E42" s="21" t="n">
        <f aca="false">E36+E38-E41</f>
        <v>0</v>
      </c>
      <c r="F42" s="21" t="n">
        <f aca="false">F36+F38-F41</f>
        <v>0</v>
      </c>
      <c r="G42" s="21" t="n">
        <f aca="false">G36+G38-G41</f>
        <v>0</v>
      </c>
      <c r="H42" s="21" t="n">
        <f aca="false">H36+H38-H41</f>
        <v>0</v>
      </c>
      <c r="I42" s="21" t="n">
        <f aca="false">I36+I38-I41</f>
        <v>0</v>
      </c>
      <c r="J42" s="21" t="n">
        <f aca="false">J36+J38-J41</f>
        <v>0</v>
      </c>
      <c r="K42" s="21" t="n">
        <f aca="false">K36+K38-K41</f>
        <v>0</v>
      </c>
      <c r="L42" s="21" t="n">
        <f aca="false">L36+L38-L41</f>
        <v>0</v>
      </c>
      <c r="M42" s="21" t="n">
        <f aca="false">M36+M38-M41</f>
        <v>0</v>
      </c>
      <c r="N42" s="21" t="n">
        <f aca="false">N36+N38-N41</f>
        <v>0</v>
      </c>
      <c r="O42" s="21" t="n">
        <f aca="false">O36+O38-O41</f>
        <v>0</v>
      </c>
      <c r="P42" s="21" t="n">
        <f aca="false">P36+P38-P41</f>
        <v>0</v>
      </c>
      <c r="Q42" s="21" t="n">
        <f aca="false">Q36+Q38-Q41</f>
        <v>0</v>
      </c>
      <c r="R42" s="21" t="n">
        <f aca="false">R36+R38-R41</f>
        <v>0</v>
      </c>
      <c r="S42" s="21" t="n">
        <f aca="false">S36+S38-S41</f>
        <v>0</v>
      </c>
      <c r="T42" s="21" t="n">
        <f aca="false">T36+T38-T41</f>
        <v>0</v>
      </c>
      <c r="U42" s="21" t="n">
        <f aca="false">U36+U38-U41</f>
        <v>0</v>
      </c>
      <c r="V42" s="21" t="n">
        <f aca="false">V36+V38-V41</f>
        <v>0</v>
      </c>
      <c r="W42" s="21" t="n">
        <f aca="false">W36+W38-W41</f>
        <v>0</v>
      </c>
      <c r="X42" s="21" t="n">
        <f aca="false">X36+X38-X41</f>
        <v>0</v>
      </c>
      <c r="Y42" s="21" t="n">
        <f aca="false">Y36+Y38-Y41</f>
        <v>0</v>
      </c>
      <c r="Z42" s="21" t="n">
        <f aca="false">Z36+Z38-Z41</f>
        <v>0</v>
      </c>
      <c r="AA42" s="21" t="n">
        <f aca="false">AA36+AA38-AA41</f>
        <v>0</v>
      </c>
      <c r="AB42" s="21" t="n">
        <f aca="false">AB36+AB38-AB41</f>
        <v>0</v>
      </c>
      <c r="AC42" s="21" t="n">
        <f aca="false">AC36+AC38-AC41</f>
        <v>0</v>
      </c>
      <c r="AD42" s="21" t="n">
        <f aca="false">AD36+AD38-AD41</f>
        <v>0</v>
      </c>
      <c r="AE42" s="21" t="n">
        <f aca="false">AE36+AE38-AE41</f>
        <v>0</v>
      </c>
      <c r="AF42" s="21" t="n">
        <f aca="false">AF36+AF38-AF41</f>
        <v>0</v>
      </c>
      <c r="AG42" s="21" t="n">
        <f aca="false">AG36+AG38-AG41</f>
        <v>0</v>
      </c>
      <c r="AH42" s="21" t="n">
        <f aca="false">AH36+AH38-AH41</f>
        <v>0</v>
      </c>
    </row>
    <row r="43" customFormat="false" ht="15" hidden="false" customHeight="false" outlineLevel="0" collapsed="false">
      <c r="B43" s="8" t="s">
        <v>273</v>
      </c>
      <c r="C43" s="21"/>
      <c r="D43" s="21" t="n">
        <f aca="false">MIN(E43:AH43)</f>
        <v>8923.1057781735</v>
      </c>
      <c r="E43" s="21" t="n">
        <f aca="false">E35+E38-E$20-E39-E40-E41</f>
        <v>14222.1539166667</v>
      </c>
      <c r="F43" s="21" t="n">
        <f aca="false">F35+F38-F$20-F39-F40-F41</f>
        <v>14399.5013933333</v>
      </c>
      <c r="G43" s="21" t="n">
        <f aca="false">G35+G38-G$20-G39-G40-G41</f>
        <v>13850.20426</v>
      </c>
      <c r="H43" s="21" t="n">
        <f aca="false">H35+H38-H$20-H39-H40-H41</f>
        <v>13257.0462572146</v>
      </c>
      <c r="I43" s="21" t="n">
        <f aca="false">I35+I38-I$20-I39-I40-I41</f>
        <v>13433.469076347</v>
      </c>
      <c r="J43" s="21" t="n">
        <f aca="false">J35+J38-J$20-J39-J40-J41</f>
        <v>13609.8610735616</v>
      </c>
      <c r="K43" s="21" t="n">
        <f aca="false">K35+K38-K$20-K39-K40-K41</f>
        <v>13786.2530707763</v>
      </c>
      <c r="L43" s="21" t="n">
        <f aca="false">L35+L38-L$20-L39-L40-L41</f>
        <v>13962.7375337443</v>
      </c>
      <c r="M43" s="21" t="n">
        <f aca="false">M35+M38-M$20-M39-M40-M41</f>
        <v>12994.9295309589</v>
      </c>
      <c r="N43" s="21" t="n">
        <f aca="false">N35+N38-N$20-N39-N40-N41</f>
        <v>12105.6069200913</v>
      </c>
      <c r="O43" s="21" t="n">
        <f aca="false">O35+O38-O$20-O39-O40-O41</f>
        <v>11281.9989173059</v>
      </c>
      <c r="P43" s="21" t="n">
        <f aca="false">P35+P38-P$20-P39-P40-P41</f>
        <v>9551.42173643835</v>
      </c>
      <c r="Q43" s="21" t="n">
        <f aca="false">Q35+Q38-Q$20-Q39-Q40-Q41</f>
        <v>9727.81373365296</v>
      </c>
      <c r="R43" s="21" t="n">
        <f aca="false">R35+R38-R$20-R39-R40-R41</f>
        <v>9904.20573086757</v>
      </c>
      <c r="S43" s="21" t="n">
        <f aca="false">S35+S38-S$20-S39-S40-S41</f>
        <v>9353.98393999999</v>
      </c>
      <c r="T43" s="21" t="n">
        <f aca="false">T35+T38-T$20-T39-T40-T41</f>
        <v>9530.3759372146</v>
      </c>
      <c r="U43" s="21" t="n">
        <f aca="false">U35+U38-U$20-U39-U40-U41</f>
        <v>9706.79875634702</v>
      </c>
      <c r="V43" s="21" t="n">
        <f aca="false">V35+V38-V$20-V39-V40-V41</f>
        <v>9883.19075356163</v>
      </c>
      <c r="W43" s="21" t="n">
        <f aca="false">W35+W38-W$20-W39-W40-W41</f>
        <v>10059.5827507762</v>
      </c>
      <c r="X43" s="21" t="n">
        <f aca="false">X35+X38-X$20-X39-X40-X41</f>
        <v>10236.0363918265</v>
      </c>
      <c r="Y43" s="21" t="n">
        <f aca="false">Y35+Y38-Y$20-Y39-Y40-Y41</f>
        <v>9812.42838904108</v>
      </c>
      <c r="Z43" s="21" t="n">
        <f aca="false">Z35+Z38-Z$20-Z39-Z40-Z41</f>
        <v>8923.1057781735</v>
      </c>
      <c r="AA43" s="21" t="n">
        <f aca="false">AA35+AA38-AA$20-AA39-AA40-AA41</f>
        <v>9099.49777538811</v>
      </c>
      <c r="AB43" s="21" t="n">
        <f aca="false">AB35+AB38-AB$20-AB39-AB40-AB41</f>
        <v>9275.92059452053</v>
      </c>
      <c r="AC43" s="21" t="n">
        <f aca="false">AC35+AC38-AC$20-AC39-AC40-AC41</f>
        <v>9452.31259173514</v>
      </c>
      <c r="AD43" s="21" t="n">
        <f aca="false">AD35+AD38-AD$20-AD39-AD40-AD41</f>
        <v>9628.70458894975</v>
      </c>
      <c r="AE43" s="21" t="n">
        <f aca="false">AE35+AE38-AE$20-AE39-AE40-AE41</f>
        <v>9078.48279808217</v>
      </c>
      <c r="AF43" s="21" t="n">
        <f aca="false">AF35+AF38-AF$20-AF39-AF40-AF41</f>
        <v>9255.83027474884</v>
      </c>
      <c r="AG43" s="21" t="n">
        <f aca="false">AG35+AG38-AG$20-AG39-AG40-AG41</f>
        <v>9433.17775141551</v>
      </c>
      <c r="AH43" s="21" t="n">
        <f aca="false">AH35+AH38-AH$20-AH39-AH40-AH41</f>
        <v>9610.52522808217</v>
      </c>
    </row>
    <row r="44" customFormat="false" ht="15" hidden="false" customHeight="false" outlineLevel="0" collapsed="false">
      <c r="B44" s="5" t="s">
        <v>274</v>
      </c>
      <c r="C44" s="11"/>
      <c r="D44" s="11" t="n">
        <f aca="false">MIN(E44:AH44)</f>
        <v>1317.31492484017</v>
      </c>
      <c r="E44" s="11" t="n">
        <f aca="false">E43-E$21</f>
        <v>6616.36306333333</v>
      </c>
      <c r="F44" s="11" t="n">
        <f aca="false">F43-F$21</f>
        <v>6793.71054</v>
      </c>
      <c r="G44" s="11" t="n">
        <f aca="false">G43-G$21</f>
        <v>6244.41340666667</v>
      </c>
      <c r="H44" s="11" t="n">
        <f aca="false">H43-H$21</f>
        <v>5651.25540388128</v>
      </c>
      <c r="I44" s="11" t="n">
        <f aca="false">I43-I$21</f>
        <v>5827.6782230137</v>
      </c>
      <c r="J44" s="11" t="n">
        <f aca="false">J43-J$21</f>
        <v>6004.07022022831</v>
      </c>
      <c r="K44" s="11" t="n">
        <f aca="false">K43-K$21</f>
        <v>6180.46221744292</v>
      </c>
      <c r="L44" s="11" t="n">
        <f aca="false">L43-L$21</f>
        <v>6356.94668041095</v>
      </c>
      <c r="M44" s="11" t="n">
        <f aca="false">M43-M$21</f>
        <v>5389.13867762557</v>
      </c>
      <c r="N44" s="11" t="n">
        <f aca="false">N43-N$21</f>
        <v>4499.81606675799</v>
      </c>
      <c r="O44" s="11" t="n">
        <f aca="false">O43-O$21</f>
        <v>3676.2080639726</v>
      </c>
      <c r="P44" s="11" t="n">
        <f aca="false">P43-P$21</f>
        <v>1945.63088310502</v>
      </c>
      <c r="Q44" s="11" t="n">
        <f aca="false">Q43-Q$21</f>
        <v>2122.02288031963</v>
      </c>
      <c r="R44" s="11" t="n">
        <f aca="false">R43-R$21</f>
        <v>2298.41487753424</v>
      </c>
      <c r="S44" s="11" t="n">
        <f aca="false">S43-S$21</f>
        <v>1748.19308666666</v>
      </c>
      <c r="T44" s="11" t="n">
        <f aca="false">T43-T$21</f>
        <v>1924.58508388127</v>
      </c>
      <c r="U44" s="11" t="n">
        <f aca="false">U43-U$21</f>
        <v>2101.00790301369</v>
      </c>
      <c r="V44" s="11" t="n">
        <f aca="false">V43-V$21</f>
        <v>2277.3999002283</v>
      </c>
      <c r="W44" s="11" t="n">
        <f aca="false">W43-W$21</f>
        <v>2453.79189744291</v>
      </c>
      <c r="X44" s="11" t="n">
        <f aca="false">X43-X$21</f>
        <v>2630.24553849314</v>
      </c>
      <c r="Y44" s="11" t="n">
        <f aca="false">Y43-Y$21</f>
        <v>2206.63753570775</v>
      </c>
      <c r="Z44" s="11" t="n">
        <f aca="false">Z43-Z$21</f>
        <v>1317.31492484017</v>
      </c>
      <c r="AA44" s="11" t="n">
        <f aca="false">AA43-AA$21</f>
        <v>1493.70692205478</v>
      </c>
      <c r="AB44" s="11" t="n">
        <f aca="false">AB43-AB$21</f>
        <v>1670.1297411872</v>
      </c>
      <c r="AC44" s="11" t="n">
        <f aca="false">AC43-AC$21</f>
        <v>1846.52173840181</v>
      </c>
      <c r="AD44" s="11" t="n">
        <f aca="false">AD43-AD$21</f>
        <v>2022.91373561642</v>
      </c>
      <c r="AE44" s="11" t="n">
        <f aca="false">AE43-AE$21</f>
        <v>1472.69194474884</v>
      </c>
      <c r="AF44" s="11" t="n">
        <f aca="false">AF43-AF$21</f>
        <v>1650.03942141551</v>
      </c>
      <c r="AG44" s="11" t="n">
        <f aca="false">AG43-AG$21</f>
        <v>1827.38689808217</v>
      </c>
      <c r="AH44" s="11" t="n">
        <f aca="false">AH43-AH$21</f>
        <v>2004.73437474884</v>
      </c>
    </row>
    <row r="45" customFormat="false" ht="15" hidden="false" customHeight="false" outlineLevel="0" collapsed="false">
      <c r="B45" s="5" t="s">
        <v>275</v>
      </c>
      <c r="C45" s="11" t="n">
        <f aca="false">SUM(E45:AH45)</f>
        <v>29.2808219178082</v>
      </c>
      <c r="D45" s="11"/>
      <c r="E45" s="11" t="n">
        <f aca="false">E$20+E39+E40</f>
        <v>0</v>
      </c>
      <c r="F45" s="11" t="n">
        <f aca="false">F$20+F39+F40</f>
        <v>0</v>
      </c>
      <c r="G45" s="11" t="n">
        <f aca="false">G$20+G39+G40</f>
        <v>0</v>
      </c>
      <c r="H45" s="11" t="n">
        <f aca="false">H$20+H39+H40</f>
        <v>7.7054794520548</v>
      </c>
      <c r="I45" s="11" t="n">
        <f aca="false">I$20+I39+I40</f>
        <v>0.924657534246575</v>
      </c>
      <c r="J45" s="11" t="n">
        <f aca="false">J$20+J39+J40</f>
        <v>0.955479452054795</v>
      </c>
      <c r="K45" s="11" t="n">
        <f aca="false">K$20+K39+K40</f>
        <v>0.955479452054795</v>
      </c>
      <c r="L45" s="11" t="n">
        <f aca="false">L$20+L39+L40</f>
        <v>0.863013698630137</v>
      </c>
      <c r="M45" s="11" t="n">
        <f aca="false">M$20+M39+M40</f>
        <v>0.955479452054795</v>
      </c>
      <c r="N45" s="11" t="n">
        <f aca="false">N$20+N39+N40</f>
        <v>0.924657534246575</v>
      </c>
      <c r="O45" s="11" t="n">
        <f aca="false">O$20+O39+O40</f>
        <v>0.955479452054795</v>
      </c>
      <c r="P45" s="11" t="n">
        <f aca="false">P$20+P39+P40</f>
        <v>0.924657534246575</v>
      </c>
      <c r="Q45" s="11" t="n">
        <f aca="false">Q$20+Q39+Q40</f>
        <v>0.955479452054795</v>
      </c>
      <c r="R45" s="11" t="n">
        <f aca="false">R$20+R39+R40</f>
        <v>0.955479452054795</v>
      </c>
      <c r="S45" s="11" t="n">
        <f aca="false">S$20+S39+S40</f>
        <v>0.924657534246575</v>
      </c>
      <c r="T45" s="11" t="n">
        <f aca="false">T$20+T39+T40</f>
        <v>0.955479452054795</v>
      </c>
      <c r="U45" s="11" t="n">
        <f aca="false">U$20+U39+U40</f>
        <v>0.924657534246575</v>
      </c>
      <c r="V45" s="11" t="n">
        <f aca="false">V$20+V39+V40</f>
        <v>0.955479452054795</v>
      </c>
      <c r="W45" s="11" t="n">
        <f aca="false">W$20+W39+W40</f>
        <v>0.955479452054795</v>
      </c>
      <c r="X45" s="11" t="n">
        <f aca="false">X$20+X39+X40</f>
        <v>0.893835616438356</v>
      </c>
      <c r="Y45" s="11" t="n">
        <f aca="false">Y$20+Y39+Y40</f>
        <v>0.955479452054795</v>
      </c>
      <c r="Z45" s="11" t="n">
        <f aca="false">Z$20+Z39+Z40</f>
        <v>0.924657534246575</v>
      </c>
      <c r="AA45" s="11" t="n">
        <f aca="false">AA$20+AA39+AA40</f>
        <v>0.955479452054795</v>
      </c>
      <c r="AB45" s="11" t="n">
        <f aca="false">AB$20+AB39+AB40</f>
        <v>0.924657534246575</v>
      </c>
      <c r="AC45" s="11" t="n">
        <f aca="false">AC$20+AC39+AC40</f>
        <v>0.955479452054795</v>
      </c>
      <c r="AD45" s="11" t="n">
        <f aca="false">AD$20+AD39+AD40</f>
        <v>0.955479452054795</v>
      </c>
      <c r="AE45" s="11" t="n">
        <f aca="false">AE$20+AE39+AE40</f>
        <v>0.924657534246575</v>
      </c>
      <c r="AF45" s="11" t="n">
        <f aca="false">AF$20+AF39+AF40</f>
        <v>0</v>
      </c>
      <c r="AG45" s="11" t="n">
        <f aca="false">AG$20+AG39+AG40</f>
        <v>0</v>
      </c>
      <c r="AH45" s="11" t="n">
        <f aca="false">AH$20+AH39+AH40</f>
        <v>0</v>
      </c>
    </row>
    <row r="47" customFormat="false" ht="17.15" hidden="false" customHeight="false" outlineLevel="0" collapsed="false">
      <c r="B47" s="3" t="s">
        <v>276</v>
      </c>
    </row>
    <row r="48" customFormat="false" ht="15" hidden="false" customHeight="false" outlineLevel="0" collapsed="false">
      <c r="B48" s="5" t="s">
        <v>256</v>
      </c>
      <c r="C48" s="10"/>
      <c r="D48" s="10"/>
      <c r="E48" s="41" t="n">
        <v>1</v>
      </c>
      <c r="F48" s="41" t="n">
        <v>1</v>
      </c>
      <c r="G48" s="41" t="n">
        <v>1</v>
      </c>
      <c r="H48" s="41" t="n">
        <v>0.8</v>
      </c>
      <c r="I48" s="41" t="n">
        <v>0.8</v>
      </c>
      <c r="J48" s="41" t="n">
        <v>0.8</v>
      </c>
      <c r="K48" s="41" t="n">
        <v>0.8</v>
      </c>
      <c r="L48" s="41" t="n">
        <v>0.8</v>
      </c>
      <c r="M48" s="41" t="n">
        <v>0.8</v>
      </c>
      <c r="N48" s="41" t="n">
        <v>0.8</v>
      </c>
      <c r="O48" s="41" t="n">
        <v>0.8</v>
      </c>
      <c r="P48" s="41" t="n">
        <v>0.8</v>
      </c>
      <c r="Q48" s="41" t="n">
        <v>0.8</v>
      </c>
      <c r="R48" s="41" t="n">
        <v>0.8</v>
      </c>
      <c r="S48" s="41" t="n">
        <v>0.8</v>
      </c>
      <c r="T48" s="41" t="n">
        <v>0.8</v>
      </c>
      <c r="U48" s="41" t="n">
        <v>0.8</v>
      </c>
      <c r="V48" s="41" t="n">
        <v>0.8</v>
      </c>
      <c r="W48" s="41" t="n">
        <v>1</v>
      </c>
      <c r="X48" s="41" t="n">
        <v>1</v>
      </c>
      <c r="Y48" s="41" t="n">
        <v>1</v>
      </c>
      <c r="Z48" s="41" t="n">
        <v>1</v>
      </c>
      <c r="AA48" s="41" t="n">
        <v>1</v>
      </c>
      <c r="AB48" s="41" t="n">
        <v>1</v>
      </c>
      <c r="AC48" s="41" t="n">
        <v>1</v>
      </c>
      <c r="AD48" s="41" t="n">
        <v>1</v>
      </c>
      <c r="AE48" s="41" t="n">
        <v>1</v>
      </c>
      <c r="AF48" s="41" t="n">
        <v>1</v>
      </c>
      <c r="AG48" s="41" t="n">
        <v>1</v>
      </c>
      <c r="AH48" s="41" t="n">
        <v>1</v>
      </c>
    </row>
    <row r="49" customFormat="false" ht="15" hidden="false" customHeight="false" outlineLevel="0" collapsed="false">
      <c r="B49" s="5" t="s">
        <v>257</v>
      </c>
      <c r="C49" s="45"/>
      <c r="D49" s="45"/>
      <c r="E49" s="46" t="n">
        <v>0</v>
      </c>
      <c r="F49" s="46" t="n">
        <v>0</v>
      </c>
      <c r="G49" s="46" t="n">
        <v>0</v>
      </c>
      <c r="H49" s="46" t="n">
        <v>3.333333</v>
      </c>
      <c r="I49" s="46" t="n">
        <v>6.666667</v>
      </c>
      <c r="J49" s="46" t="n">
        <v>10</v>
      </c>
      <c r="K49" s="46" t="n">
        <v>13.333333</v>
      </c>
      <c r="L49" s="46" t="n">
        <v>16.666667</v>
      </c>
      <c r="M49" s="46" t="n">
        <v>20</v>
      </c>
      <c r="N49" s="46" t="n">
        <v>23.333333</v>
      </c>
      <c r="O49" s="46" t="n">
        <v>26.666667</v>
      </c>
      <c r="P49" s="46" t="n">
        <v>30</v>
      </c>
      <c r="Q49" s="46" t="n">
        <v>30</v>
      </c>
      <c r="R49" s="46" t="n">
        <v>30</v>
      </c>
      <c r="S49" s="46" t="n">
        <v>30</v>
      </c>
      <c r="T49" s="46" t="n">
        <v>30</v>
      </c>
      <c r="U49" s="46" t="n">
        <v>30</v>
      </c>
      <c r="V49" s="46" t="n">
        <v>30</v>
      </c>
      <c r="W49" s="46" t="n">
        <v>25</v>
      </c>
      <c r="X49" s="46" t="n">
        <v>20</v>
      </c>
      <c r="Y49" s="46" t="n">
        <v>15</v>
      </c>
      <c r="Z49" s="46" t="n">
        <v>10</v>
      </c>
      <c r="AA49" s="46" t="n">
        <v>5</v>
      </c>
      <c r="AB49" s="46" t="n">
        <v>0</v>
      </c>
      <c r="AC49" s="46" t="n">
        <v>0</v>
      </c>
      <c r="AD49" s="46" t="n">
        <v>0</v>
      </c>
      <c r="AE49" s="46" t="n">
        <v>0</v>
      </c>
      <c r="AF49" s="46" t="n">
        <v>0</v>
      </c>
      <c r="AG49" s="46" t="n">
        <v>0</v>
      </c>
      <c r="AH49" s="46" t="n">
        <v>0</v>
      </c>
    </row>
    <row r="50" customFormat="false" ht="15" hidden="false" customHeight="false" outlineLevel="0" collapsed="false">
      <c r="B50" s="5" t="s">
        <v>258</v>
      </c>
      <c r="C50" s="47"/>
      <c r="D50" s="47"/>
      <c r="E50" s="48" t="n">
        <v>1.1</v>
      </c>
      <c r="F50" s="48" t="n">
        <v>1.1</v>
      </c>
      <c r="G50" s="48" t="n">
        <v>1.1</v>
      </c>
      <c r="H50" s="48" t="n">
        <v>1.1</v>
      </c>
      <c r="I50" s="48" t="n">
        <v>1.1</v>
      </c>
      <c r="J50" s="48" t="n">
        <v>1.1</v>
      </c>
      <c r="K50" s="48" t="n">
        <v>1.1</v>
      </c>
      <c r="L50" s="48" t="n">
        <v>1.1</v>
      </c>
      <c r="M50" s="48" t="n">
        <v>1.1</v>
      </c>
      <c r="N50" s="48" t="n">
        <v>1.1</v>
      </c>
      <c r="O50" s="48" t="n">
        <v>1.1</v>
      </c>
      <c r="P50" s="48" t="n">
        <v>1.1</v>
      </c>
      <c r="Q50" s="48" t="n">
        <v>1.1</v>
      </c>
      <c r="R50" s="48" t="n">
        <v>1.1</v>
      </c>
      <c r="S50" s="48" t="n">
        <v>1.1</v>
      </c>
      <c r="T50" s="48" t="n">
        <v>1.1</v>
      </c>
      <c r="U50" s="48" t="n">
        <v>1.1</v>
      </c>
      <c r="V50" s="48" t="n">
        <v>1.1</v>
      </c>
      <c r="W50" s="48" t="n">
        <v>1.1</v>
      </c>
      <c r="X50" s="48" t="n">
        <v>1.1</v>
      </c>
      <c r="Y50" s="48" t="n">
        <v>1.1</v>
      </c>
      <c r="Z50" s="48" t="n">
        <v>1.1</v>
      </c>
      <c r="AA50" s="48" t="n">
        <v>1.1</v>
      </c>
      <c r="AB50" s="48" t="n">
        <v>1.1</v>
      </c>
      <c r="AC50" s="48" t="n">
        <v>1.1</v>
      </c>
      <c r="AD50" s="48" t="n">
        <v>1.1</v>
      </c>
      <c r="AE50" s="48" t="n">
        <v>1.1</v>
      </c>
      <c r="AF50" s="48" t="n">
        <v>1.1</v>
      </c>
      <c r="AG50" s="48" t="n">
        <v>1.1</v>
      </c>
      <c r="AH50" s="48" t="n">
        <v>1.1</v>
      </c>
    </row>
    <row r="51" customFormat="false" ht="15" hidden="false" customHeight="false" outlineLevel="0" collapsed="false">
      <c r="B51" s="5" t="s">
        <v>259</v>
      </c>
      <c r="C51" s="11" t="n">
        <f aca="false">SUM(E51:AH51)</f>
        <v>7541.433945</v>
      </c>
      <c r="D51" s="11"/>
      <c r="E51" s="11" t="n">
        <f aca="false">가정!$C$37*E48</f>
        <v>279.312368333333</v>
      </c>
      <c r="F51" s="11" t="n">
        <f aca="false">가정!$C$37*F48</f>
        <v>279.312368333333</v>
      </c>
      <c r="G51" s="11" t="n">
        <f aca="false">가정!$C$37*G48</f>
        <v>279.312368333333</v>
      </c>
      <c r="H51" s="11" t="n">
        <f aca="false">가정!$C$37*H48</f>
        <v>223.449894666667</v>
      </c>
      <c r="I51" s="11" t="n">
        <f aca="false">가정!$C$37*I48</f>
        <v>223.449894666667</v>
      </c>
      <c r="J51" s="11" t="n">
        <f aca="false">가정!$C$37*J48</f>
        <v>223.449894666667</v>
      </c>
      <c r="K51" s="11" t="n">
        <f aca="false">가정!$C$37*K48</f>
        <v>223.449894666667</v>
      </c>
      <c r="L51" s="11" t="n">
        <f aca="false">가정!$C$37*L48</f>
        <v>223.449894666667</v>
      </c>
      <c r="M51" s="11" t="n">
        <f aca="false">가정!$C$37*M48</f>
        <v>223.449894666667</v>
      </c>
      <c r="N51" s="11" t="n">
        <f aca="false">가정!$C$37*N48</f>
        <v>223.449894666667</v>
      </c>
      <c r="O51" s="11" t="n">
        <f aca="false">가정!$C$37*O48</f>
        <v>223.449894666667</v>
      </c>
      <c r="P51" s="11" t="n">
        <f aca="false">가정!$C$37*P48</f>
        <v>223.449894666667</v>
      </c>
      <c r="Q51" s="11" t="n">
        <f aca="false">가정!$C$37*Q48</f>
        <v>223.449894666667</v>
      </c>
      <c r="R51" s="11" t="n">
        <f aca="false">가정!$C$37*R48</f>
        <v>223.449894666667</v>
      </c>
      <c r="S51" s="11" t="n">
        <f aca="false">가정!$C$37*S48</f>
        <v>223.449894666667</v>
      </c>
      <c r="T51" s="11" t="n">
        <f aca="false">가정!$C$37*T48</f>
        <v>223.449894666667</v>
      </c>
      <c r="U51" s="11" t="n">
        <f aca="false">가정!$C$37*U48</f>
        <v>223.449894666667</v>
      </c>
      <c r="V51" s="11" t="n">
        <f aca="false">가정!$C$37*V48</f>
        <v>223.449894666667</v>
      </c>
      <c r="W51" s="11" t="n">
        <f aca="false">가정!$C$37*W48</f>
        <v>279.312368333333</v>
      </c>
      <c r="X51" s="11" t="n">
        <f aca="false">가정!$C$37*X48</f>
        <v>279.312368333333</v>
      </c>
      <c r="Y51" s="11" t="n">
        <f aca="false">가정!$C$37*Y48</f>
        <v>279.312368333333</v>
      </c>
      <c r="Z51" s="11" t="n">
        <f aca="false">가정!$C$37*Z48</f>
        <v>279.312368333333</v>
      </c>
      <c r="AA51" s="11" t="n">
        <f aca="false">가정!$C$37*AA48</f>
        <v>279.312368333333</v>
      </c>
      <c r="AB51" s="11" t="n">
        <f aca="false">가정!$C$37*AB48</f>
        <v>279.312368333333</v>
      </c>
      <c r="AC51" s="11" t="n">
        <f aca="false">가정!$C$37*AC48</f>
        <v>279.312368333333</v>
      </c>
      <c r="AD51" s="11" t="n">
        <f aca="false">가정!$C$37*AD48</f>
        <v>279.312368333333</v>
      </c>
      <c r="AE51" s="11" t="n">
        <f aca="false">가정!$C$37*AE48</f>
        <v>279.312368333333</v>
      </c>
      <c r="AF51" s="11" t="n">
        <f aca="false">가정!$C$37*AF48</f>
        <v>279.312368333333</v>
      </c>
      <c r="AG51" s="11" t="n">
        <f aca="false">가정!$C$37*AG48</f>
        <v>279.312368333333</v>
      </c>
      <c r="AH51" s="11" t="n">
        <f aca="false">가정!$C$37*AH48</f>
        <v>279.312368333333</v>
      </c>
    </row>
    <row r="52" customFormat="false" ht="15" hidden="false" customHeight="false" outlineLevel="0" collapsed="false">
      <c r="B52" s="5" t="s">
        <v>260</v>
      </c>
      <c r="C52" s="11" t="n">
        <f aca="false">SUM(E52:AH52)</f>
        <v>0</v>
      </c>
      <c r="D52" s="11"/>
      <c r="E52" s="11" t="n">
        <f aca="false">(0-E49)*가정!$C$49</f>
        <v>0</v>
      </c>
      <c r="F52" s="11" t="n">
        <f aca="false">(E49-F49)*가정!$C$49</f>
        <v>0</v>
      </c>
      <c r="G52" s="11" t="n">
        <f aca="false">(F49-G49)*가정!$C$49</f>
        <v>0</v>
      </c>
      <c r="H52" s="11" t="n">
        <f aca="false">(G49-H49)*가정!$C$49</f>
        <v>-497.650269869671</v>
      </c>
      <c r="I52" s="11" t="n">
        <f aca="false">(H49-I49)*가정!$C$49</f>
        <v>-497.650419164767</v>
      </c>
      <c r="J52" s="11" t="n">
        <f aca="false">(I49-J49)*가정!$C$49</f>
        <v>-497.650269869671</v>
      </c>
      <c r="K52" s="11" t="n">
        <f aca="false">(J49-K49)*가정!$C$49</f>
        <v>-497.650269869671</v>
      </c>
      <c r="L52" s="11" t="n">
        <f aca="false">(K49-L49)*가정!$C$49</f>
        <v>-497.650419164767</v>
      </c>
      <c r="M52" s="11" t="n">
        <f aca="false">(L49-M49)*가정!$C$49</f>
        <v>-497.650269869671</v>
      </c>
      <c r="N52" s="11" t="n">
        <f aca="false">(M49-N49)*가정!$C$49</f>
        <v>-497.650269869671</v>
      </c>
      <c r="O52" s="11" t="n">
        <f aca="false">(N49-O49)*가정!$C$49</f>
        <v>-497.650419164767</v>
      </c>
      <c r="P52" s="11" t="n">
        <f aca="false">(O49-P49)*가정!$C$49</f>
        <v>-497.650269869671</v>
      </c>
      <c r="Q52" s="11" t="n">
        <f aca="false">(P49-Q49)*가정!$C$49</f>
        <v>0</v>
      </c>
      <c r="R52" s="11" t="n">
        <f aca="false">(Q49-R49)*가정!$C$49</f>
        <v>0</v>
      </c>
      <c r="S52" s="11" t="n">
        <f aca="false">(R49-S49)*가정!$C$49</f>
        <v>0</v>
      </c>
      <c r="T52" s="11" t="n">
        <f aca="false">(S49-T49)*가정!$C$49</f>
        <v>0</v>
      </c>
      <c r="U52" s="11" t="n">
        <f aca="false">(T49-U49)*가정!$C$49</f>
        <v>0</v>
      </c>
      <c r="V52" s="11" t="n">
        <f aca="false">(U49-V49)*가정!$C$49</f>
        <v>0</v>
      </c>
      <c r="W52" s="11" t="n">
        <f aca="false">(V49-W49)*가정!$C$49</f>
        <v>746.475479452055</v>
      </c>
      <c r="X52" s="11" t="n">
        <f aca="false">(W49-X49)*가정!$C$49</f>
        <v>746.475479452055</v>
      </c>
      <c r="Y52" s="11" t="n">
        <f aca="false">(X49-Y49)*가정!$C$49</f>
        <v>746.475479452055</v>
      </c>
      <c r="Z52" s="11" t="n">
        <f aca="false">(Y49-Z49)*가정!$C$49</f>
        <v>746.475479452055</v>
      </c>
      <c r="AA52" s="11" t="n">
        <f aca="false">(Z49-AA49)*가정!$C$49</f>
        <v>746.475479452055</v>
      </c>
      <c r="AB52" s="11" t="n">
        <f aca="false">(AA49-AB49)*가정!$C$49</f>
        <v>746.475479452055</v>
      </c>
      <c r="AC52" s="11" t="n">
        <f aca="false">(AB49-AC49)*가정!$C$49</f>
        <v>0</v>
      </c>
      <c r="AD52" s="11" t="n">
        <f aca="false">(AC49-AD49)*가정!$C$49</f>
        <v>0</v>
      </c>
      <c r="AE52" s="11" t="n">
        <f aca="false">(AD49-AE49)*가정!$C$49</f>
        <v>0</v>
      </c>
      <c r="AF52" s="11" t="n">
        <f aca="false">(AE49-AF49)*가정!$C$49</f>
        <v>0</v>
      </c>
      <c r="AG52" s="11" t="n">
        <f aca="false">(AF49-AG49)*가정!$C$49</f>
        <v>0</v>
      </c>
      <c r="AH52" s="11" t="n">
        <f aca="false">(AG49-AH49)*가정!$C$49</f>
        <v>0</v>
      </c>
    </row>
    <row r="53" customFormat="false" ht="15" hidden="false" customHeight="false" outlineLevel="0" collapsed="false">
      <c r="B53" s="5" t="s">
        <v>261</v>
      </c>
      <c r="C53" s="11" t="n">
        <f aca="false">SUM(E53:AH53)</f>
        <v>-4195.4</v>
      </c>
      <c r="D53" s="11"/>
      <c r="E53" s="11" t="n">
        <f aca="false">E$11*E50</f>
        <v>-0</v>
      </c>
      <c r="F53" s="11" t="n">
        <f aca="false">F$11*F50</f>
        <v>-0</v>
      </c>
      <c r="G53" s="11" t="n">
        <f aca="false">G$11*G50</f>
        <v>-0</v>
      </c>
      <c r="H53" s="11" t="n">
        <f aca="false">H$11*H50</f>
        <v>-839.08</v>
      </c>
      <c r="I53" s="11" t="n">
        <f aca="false">I$11*I50</f>
        <v>-0</v>
      </c>
      <c r="J53" s="11" t="n">
        <f aca="false">J$11*J50</f>
        <v>-0</v>
      </c>
      <c r="K53" s="11" t="n">
        <f aca="false">K$11*K50</f>
        <v>-0</v>
      </c>
      <c r="L53" s="11" t="n">
        <f aca="false">L$11*L50</f>
        <v>-0</v>
      </c>
      <c r="M53" s="11" t="n">
        <f aca="false">M$11*M50</f>
        <v>-1258.62</v>
      </c>
      <c r="N53" s="11" t="n">
        <f aca="false">N$11*N50</f>
        <v>-0</v>
      </c>
      <c r="O53" s="11" t="n">
        <f aca="false">O$11*O50</f>
        <v>-0</v>
      </c>
      <c r="P53" s="11" t="n">
        <f aca="false">P$11*P50</f>
        <v>-2097.7</v>
      </c>
      <c r="Q53" s="11" t="n">
        <f aca="false">Q$11*Q50</f>
        <v>-0</v>
      </c>
      <c r="R53" s="11" t="n">
        <f aca="false">R$11*R50</f>
        <v>-0</v>
      </c>
      <c r="S53" s="11" t="n">
        <f aca="false">S$11*S50</f>
        <v>-0</v>
      </c>
      <c r="T53" s="11" t="n">
        <f aca="false">T$11*T50</f>
        <v>-0</v>
      </c>
      <c r="U53" s="11" t="n">
        <f aca="false">U$11*U50</f>
        <v>-0</v>
      </c>
      <c r="V53" s="11" t="n">
        <f aca="false">V$11*V50</f>
        <v>-0</v>
      </c>
      <c r="W53" s="11" t="n">
        <f aca="false">W$11*W50</f>
        <v>-0</v>
      </c>
      <c r="X53" s="11" t="n">
        <f aca="false">X$11*X50</f>
        <v>-0</v>
      </c>
      <c r="Y53" s="11" t="n">
        <f aca="false">Y$11*Y50</f>
        <v>-0</v>
      </c>
      <c r="Z53" s="11" t="n">
        <f aca="false">Z$11*Z50</f>
        <v>-0</v>
      </c>
      <c r="AA53" s="11" t="n">
        <f aca="false">AA$11*AA50</f>
        <v>-0</v>
      </c>
      <c r="AB53" s="11" t="n">
        <f aca="false">AB$11*AB50</f>
        <v>-0</v>
      </c>
      <c r="AC53" s="11" t="n">
        <f aca="false">AC$11*AC50</f>
        <v>-0</v>
      </c>
      <c r="AD53" s="11" t="n">
        <f aca="false">AD$11*AD50</f>
        <v>-0</v>
      </c>
      <c r="AE53" s="11" t="n">
        <f aca="false">AE$11*AE50</f>
        <v>-0</v>
      </c>
      <c r="AF53" s="11" t="n">
        <f aca="false">AF$11*AF50</f>
        <v>-0</v>
      </c>
      <c r="AG53" s="11" t="n">
        <f aca="false">AG$11*AG50</f>
        <v>-0</v>
      </c>
      <c r="AH53" s="11" t="n">
        <f aca="false">AH$11*AH50</f>
        <v>-0</v>
      </c>
    </row>
    <row r="54" customFormat="false" ht="15" hidden="false" customHeight="false" outlineLevel="0" collapsed="false">
      <c r="B54" s="5" t="s">
        <v>262</v>
      </c>
      <c r="C54" s="11" t="n">
        <f aca="false">SUM(E54:AH54)</f>
        <v>-8970.37144</v>
      </c>
      <c r="D54" s="11"/>
      <c r="E54" s="11" t="n">
        <f aca="false">E$18</f>
        <v>-101.964891666667</v>
      </c>
      <c r="F54" s="11" t="n">
        <f aca="false">F$18</f>
        <v>-101.964891666667</v>
      </c>
      <c r="G54" s="11" t="n">
        <f aca="false">G$18</f>
        <v>-828.609501666667</v>
      </c>
      <c r="H54" s="11" t="n">
        <f aca="false">H$18</f>
        <v>-101.964891666667</v>
      </c>
      <c r="I54" s="11" t="n">
        <f aca="false">I$18</f>
        <v>-101.964891666667</v>
      </c>
      <c r="J54" s="11" t="n">
        <f aca="false">J$18</f>
        <v>-101.964891666667</v>
      </c>
      <c r="K54" s="11" t="n">
        <f aca="false">K$18</f>
        <v>-101.964891666667</v>
      </c>
      <c r="L54" s="11" t="n">
        <f aca="false">L$18</f>
        <v>-101.964891666667</v>
      </c>
      <c r="M54" s="11" t="n">
        <f aca="false">M$18</f>
        <v>-101.964891666667</v>
      </c>
      <c r="N54" s="11" t="n">
        <f aca="false">N$18</f>
        <v>-1167.71032166667</v>
      </c>
      <c r="O54" s="11" t="n">
        <f aca="false">O$18</f>
        <v>-1101.96489166667</v>
      </c>
      <c r="P54" s="11" t="n">
        <f aca="false">P$18</f>
        <v>-101.964891666667</v>
      </c>
      <c r="Q54" s="11" t="n">
        <f aca="false">Q$18</f>
        <v>-101.964891666667</v>
      </c>
      <c r="R54" s="11" t="n">
        <f aca="false">R$18</f>
        <v>-101.964891666667</v>
      </c>
      <c r="S54" s="11" t="n">
        <f aca="false">S$18</f>
        <v>-828.609501666667</v>
      </c>
      <c r="T54" s="11" t="n">
        <f aca="false">T$18</f>
        <v>-101.964891666667</v>
      </c>
      <c r="U54" s="11" t="n">
        <f aca="false">U$18</f>
        <v>-101.964891666667</v>
      </c>
      <c r="V54" s="11" t="n">
        <f aca="false">V$18</f>
        <v>-101.964891666667</v>
      </c>
      <c r="W54" s="11" t="n">
        <f aca="false">W$18</f>
        <v>-101.964891666667</v>
      </c>
      <c r="X54" s="11" t="n">
        <f aca="false">X$18</f>
        <v>-101.964891666667</v>
      </c>
      <c r="Y54" s="11" t="n">
        <f aca="false">Y$18</f>
        <v>-701.964891666667</v>
      </c>
      <c r="Z54" s="11" t="n">
        <f aca="false">Z$18</f>
        <v>-1167.71032166667</v>
      </c>
      <c r="AA54" s="11" t="n">
        <f aca="false">AA$18</f>
        <v>-101.964891666667</v>
      </c>
      <c r="AB54" s="11" t="n">
        <f aca="false">AB$18</f>
        <v>-101.964891666667</v>
      </c>
      <c r="AC54" s="11" t="n">
        <f aca="false">AC$18</f>
        <v>-101.964891666667</v>
      </c>
      <c r="AD54" s="11" t="n">
        <f aca="false">AD$18</f>
        <v>-101.964891666667</v>
      </c>
      <c r="AE54" s="11" t="n">
        <f aca="false">AE$18</f>
        <v>-828.609501666667</v>
      </c>
      <c r="AF54" s="11" t="n">
        <f aca="false">AF$18</f>
        <v>-101.964891666667</v>
      </c>
      <c r="AG54" s="11" t="n">
        <f aca="false">AG$18</f>
        <v>-101.964891666667</v>
      </c>
      <c r="AH54" s="11" t="n">
        <f aca="false">AH$18</f>
        <v>-101.964891666667</v>
      </c>
    </row>
    <row r="55" customFormat="false" ht="15" hidden="false" customHeight="false" outlineLevel="0" collapsed="false">
      <c r="B55" s="42" t="s">
        <v>263</v>
      </c>
      <c r="C55" s="43" t="n">
        <f aca="false">SUM(E55:AH55)</f>
        <v>-5624.337495</v>
      </c>
      <c r="D55" s="43"/>
      <c r="E55" s="43" t="n">
        <f aca="false">SUM(E51:E54)</f>
        <v>177.347476666667</v>
      </c>
      <c r="F55" s="43" t="n">
        <f aca="false">SUM(F51:F54)</f>
        <v>177.347476666667</v>
      </c>
      <c r="G55" s="43" t="n">
        <f aca="false">SUM(G51:G54)</f>
        <v>-549.297133333333</v>
      </c>
      <c r="H55" s="43" t="n">
        <f aca="false">SUM(H51:H54)</f>
        <v>-1215.24526686967</v>
      </c>
      <c r="I55" s="43" t="n">
        <f aca="false">SUM(I51:I54)</f>
        <v>-376.165416164767</v>
      </c>
      <c r="J55" s="43" t="n">
        <f aca="false">SUM(J51:J54)</f>
        <v>-376.165266869671</v>
      </c>
      <c r="K55" s="43" t="n">
        <f aca="false">SUM(K51:K54)</f>
        <v>-376.165266869671</v>
      </c>
      <c r="L55" s="43" t="n">
        <f aca="false">SUM(L51:L54)</f>
        <v>-376.165416164767</v>
      </c>
      <c r="M55" s="43" t="n">
        <f aca="false">SUM(M51:M54)</f>
        <v>-1634.78526686967</v>
      </c>
      <c r="N55" s="43" t="n">
        <f aca="false">SUM(N51:N54)</f>
        <v>-1441.91069686967</v>
      </c>
      <c r="O55" s="43" t="n">
        <f aca="false">SUM(O51:O54)</f>
        <v>-1376.16541616477</v>
      </c>
      <c r="P55" s="43" t="n">
        <f aca="false">SUM(P51:P54)</f>
        <v>-2473.86526686967</v>
      </c>
      <c r="Q55" s="43" t="n">
        <f aca="false">SUM(Q51:Q54)</f>
        <v>121.485003</v>
      </c>
      <c r="R55" s="43" t="n">
        <f aca="false">SUM(R51:R54)</f>
        <v>121.485003</v>
      </c>
      <c r="S55" s="43" t="n">
        <f aca="false">SUM(S51:S54)</f>
        <v>-605.159607</v>
      </c>
      <c r="T55" s="43" t="n">
        <f aca="false">SUM(T51:T54)</f>
        <v>121.485003</v>
      </c>
      <c r="U55" s="43" t="n">
        <f aca="false">SUM(U51:U54)</f>
        <v>121.485003</v>
      </c>
      <c r="V55" s="43" t="n">
        <f aca="false">SUM(V51:V54)</f>
        <v>121.485003</v>
      </c>
      <c r="W55" s="43" t="n">
        <f aca="false">SUM(W51:W54)</f>
        <v>923.822956118721</v>
      </c>
      <c r="X55" s="43" t="n">
        <f aca="false">SUM(X51:X54)</f>
        <v>923.822956118721</v>
      </c>
      <c r="Y55" s="43" t="n">
        <f aca="false">SUM(Y51:Y54)</f>
        <v>323.822956118721</v>
      </c>
      <c r="Z55" s="43" t="n">
        <f aca="false">SUM(Z51:Z54)</f>
        <v>-141.922473881279</v>
      </c>
      <c r="AA55" s="43" t="n">
        <f aca="false">SUM(AA51:AA54)</f>
        <v>923.822956118721</v>
      </c>
      <c r="AB55" s="43" t="n">
        <f aca="false">SUM(AB51:AB54)</f>
        <v>923.822956118721</v>
      </c>
      <c r="AC55" s="43" t="n">
        <f aca="false">SUM(AC51:AC54)</f>
        <v>177.347476666667</v>
      </c>
      <c r="AD55" s="43" t="n">
        <f aca="false">SUM(AD51:AD54)</f>
        <v>177.347476666667</v>
      </c>
      <c r="AE55" s="43" t="n">
        <f aca="false">SUM(AE51:AE54)</f>
        <v>-549.297133333333</v>
      </c>
      <c r="AF55" s="43" t="n">
        <f aca="false">SUM(AF51:AF54)</f>
        <v>177.347476666667</v>
      </c>
      <c r="AG55" s="43" t="n">
        <f aca="false">SUM(AG51:AG54)</f>
        <v>177.347476666667</v>
      </c>
      <c r="AH55" s="43" t="n">
        <f aca="false">SUM(AH51:AH54)</f>
        <v>177.347476666667</v>
      </c>
    </row>
    <row r="56" customFormat="false" ht="15" hidden="false" customHeight="false" outlineLevel="0" collapsed="false">
      <c r="B56" s="19" t="s">
        <v>264</v>
      </c>
      <c r="C56" s="21"/>
      <c r="D56" s="21" t="n">
        <f aca="false">MIN(E56:AH56)</f>
        <v>3841.38137928767</v>
      </c>
      <c r="E56" s="21" t="n">
        <f aca="false">가정!$D$11+E55</f>
        <v>14222.1539166667</v>
      </c>
      <c r="F56" s="21" t="n">
        <f aca="false">E56+F55</f>
        <v>14399.5013933333</v>
      </c>
      <c r="G56" s="21" t="n">
        <f aca="false">F56+G55</f>
        <v>13850.20426</v>
      </c>
      <c r="H56" s="21" t="n">
        <f aca="false">G56+H55</f>
        <v>12634.9589931303</v>
      </c>
      <c r="I56" s="21" t="n">
        <f aca="false">H56+I55</f>
        <v>12258.7935769656</v>
      </c>
      <c r="J56" s="21" t="n">
        <f aca="false">I56+J55</f>
        <v>11882.6283100959</v>
      </c>
      <c r="K56" s="21" t="n">
        <f aca="false">J56+K55</f>
        <v>11506.4630432262</v>
      </c>
      <c r="L56" s="21" t="n">
        <f aca="false">K56+L55</f>
        <v>11130.2976270614</v>
      </c>
      <c r="M56" s="21" t="n">
        <f aca="false">L56+M55</f>
        <v>9495.51236019178</v>
      </c>
      <c r="N56" s="21" t="n">
        <f aca="false">M56+N55</f>
        <v>8053.60166332211</v>
      </c>
      <c r="O56" s="21" t="n">
        <f aca="false">N56+O55</f>
        <v>6677.43624715734</v>
      </c>
      <c r="P56" s="21" t="n">
        <f aca="false">O56+P55</f>
        <v>4203.57098028767</v>
      </c>
      <c r="Q56" s="21" t="n">
        <f aca="false">P56+Q55</f>
        <v>4325.05598328767</v>
      </c>
      <c r="R56" s="21" t="n">
        <f aca="false">Q56+R55</f>
        <v>4446.54098628767</v>
      </c>
      <c r="S56" s="21" t="n">
        <f aca="false">R56+S55</f>
        <v>3841.38137928767</v>
      </c>
      <c r="T56" s="21" t="n">
        <f aca="false">S56+T55</f>
        <v>3962.86638228767</v>
      </c>
      <c r="U56" s="21" t="n">
        <f aca="false">T56+U55</f>
        <v>4084.35138528767</v>
      </c>
      <c r="V56" s="21" t="n">
        <f aca="false">U56+V55</f>
        <v>4205.83638828767</v>
      </c>
      <c r="W56" s="21" t="n">
        <f aca="false">V56+W55</f>
        <v>5129.65934440639</v>
      </c>
      <c r="X56" s="21" t="n">
        <f aca="false">W56+X55</f>
        <v>6053.48230052511</v>
      </c>
      <c r="Y56" s="21" t="n">
        <f aca="false">X56+Y55</f>
        <v>6377.30525664383</v>
      </c>
      <c r="Z56" s="21" t="n">
        <f aca="false">Y56+Z55</f>
        <v>6235.38278276255</v>
      </c>
      <c r="AA56" s="21" t="n">
        <f aca="false">Z56+AA55</f>
        <v>7159.20573888128</v>
      </c>
      <c r="AB56" s="21" t="n">
        <f aca="false">AA56+AB55</f>
        <v>8083.028695</v>
      </c>
      <c r="AC56" s="21" t="n">
        <f aca="false">AB56+AC55</f>
        <v>8260.37617166666</v>
      </c>
      <c r="AD56" s="21" t="n">
        <f aca="false">AC56+AD55</f>
        <v>8437.72364833333</v>
      </c>
      <c r="AE56" s="21" t="n">
        <f aca="false">AD56+AE55</f>
        <v>7888.426515</v>
      </c>
      <c r="AF56" s="21" t="n">
        <f aca="false">AE56+AF55</f>
        <v>8065.77399166666</v>
      </c>
      <c r="AG56" s="21" t="n">
        <f aca="false">AF56+AG55</f>
        <v>8243.12146833333</v>
      </c>
      <c r="AH56" s="21" t="n">
        <f aca="false">AG56+AH55</f>
        <v>8420.468945</v>
      </c>
    </row>
    <row r="57" customFormat="false" ht="15" hidden="false" customHeight="false" outlineLevel="0" collapsed="false">
      <c r="B57" s="5" t="s">
        <v>265</v>
      </c>
      <c r="C57" s="11"/>
      <c r="D57" s="11" t="n">
        <f aca="false">MIN(E57:AH57)</f>
        <v>-3764.40947404567</v>
      </c>
      <c r="E57" s="11" t="n">
        <f aca="false">E56-E$21</f>
        <v>6616.36306333333</v>
      </c>
      <c r="F57" s="11" t="n">
        <f aca="false">F56-F$21</f>
        <v>6793.71054</v>
      </c>
      <c r="G57" s="11" t="n">
        <f aca="false">G56-G$21</f>
        <v>6244.41340666667</v>
      </c>
      <c r="H57" s="11" t="n">
        <f aca="false">H56-H$21</f>
        <v>5029.16813979699</v>
      </c>
      <c r="I57" s="11" t="n">
        <f aca="false">I56-I$21</f>
        <v>4653.00272363223</v>
      </c>
      <c r="J57" s="11" t="n">
        <f aca="false">J56-J$21</f>
        <v>4276.83745676256</v>
      </c>
      <c r="K57" s="11" t="n">
        <f aca="false">K56-K$21</f>
        <v>3900.67218989288</v>
      </c>
      <c r="L57" s="11" t="n">
        <f aca="false">L56-L$21</f>
        <v>3524.50677372812</v>
      </c>
      <c r="M57" s="11" t="n">
        <f aca="false">M56-M$21</f>
        <v>1889.72150685844</v>
      </c>
      <c r="N57" s="11" t="n">
        <f aca="false">N56-N$21</f>
        <v>447.810809988773</v>
      </c>
      <c r="O57" s="11" t="n">
        <f aca="false">O56-O$21</f>
        <v>-928.354606175994</v>
      </c>
      <c r="P57" s="11" t="n">
        <f aca="false">P56-P$21</f>
        <v>-3402.21987304567</v>
      </c>
      <c r="Q57" s="11" t="n">
        <f aca="false">Q56-Q$21</f>
        <v>-3280.73487004567</v>
      </c>
      <c r="R57" s="11" t="n">
        <f aca="false">R56-R$21</f>
        <v>-3159.24986704567</v>
      </c>
      <c r="S57" s="11" t="n">
        <f aca="false">S56-S$21</f>
        <v>-3764.40947404567</v>
      </c>
      <c r="T57" s="11" t="n">
        <f aca="false">T56-T$21</f>
        <v>-3642.92447104567</v>
      </c>
      <c r="U57" s="11" t="n">
        <f aca="false">U56-U$21</f>
        <v>-3521.43946804567</v>
      </c>
      <c r="V57" s="11" t="n">
        <f aca="false">V56-V$21</f>
        <v>-3399.95446504567</v>
      </c>
      <c r="W57" s="11" t="n">
        <f aca="false">W56-W$21</f>
        <v>-2476.13150892694</v>
      </c>
      <c r="X57" s="11" t="n">
        <f aca="false">X56-X$21</f>
        <v>-1552.30855280822</v>
      </c>
      <c r="Y57" s="11" t="n">
        <f aca="false">Y56-Y$21</f>
        <v>-1228.4855966895</v>
      </c>
      <c r="Z57" s="11" t="n">
        <f aca="false">Z56-Z$21</f>
        <v>-1370.40807057078</v>
      </c>
      <c r="AA57" s="11" t="n">
        <f aca="false">AA56-AA$21</f>
        <v>-446.585114452058</v>
      </c>
      <c r="AB57" s="11" t="n">
        <f aca="false">AB56-AB$21</f>
        <v>477.237841666664</v>
      </c>
      <c r="AC57" s="11" t="n">
        <f aca="false">AC56-AC$21</f>
        <v>654.58531833333</v>
      </c>
      <c r="AD57" s="11" t="n">
        <f aca="false">AD56-AD$21</f>
        <v>831.932794999996</v>
      </c>
      <c r="AE57" s="11" t="n">
        <f aca="false">AE56-AE$21</f>
        <v>282.635661666663</v>
      </c>
      <c r="AF57" s="11" t="n">
        <f aca="false">AF56-AF$21</f>
        <v>459.983138333329</v>
      </c>
      <c r="AG57" s="11" t="n">
        <f aca="false">AG56-AG$21</f>
        <v>637.330614999996</v>
      </c>
      <c r="AH57" s="11" t="n">
        <f aca="false">AH56-AH$21</f>
        <v>814.678091666662</v>
      </c>
    </row>
    <row r="58" customFormat="false" ht="15" hidden="false" customHeight="false" outlineLevel="0" collapsed="false">
      <c r="B58" s="5" t="s">
        <v>23</v>
      </c>
      <c r="C58" s="11"/>
      <c r="D58" s="11"/>
      <c r="E58" s="11" t="n">
        <f aca="false">가정!$D$11</f>
        <v>14044.80644</v>
      </c>
      <c r="F58" s="11" t="n">
        <f aca="false">E67</f>
        <v>14222.1539166667</v>
      </c>
      <c r="G58" s="11" t="n">
        <f aca="false">F67</f>
        <v>14399.5013933333</v>
      </c>
      <c r="H58" s="11" t="n">
        <f aca="false">G67</f>
        <v>13850.20426</v>
      </c>
      <c r="I58" s="11" t="n">
        <f aca="false">H67</f>
        <v>12627.2535136783</v>
      </c>
      <c r="J58" s="11" t="n">
        <f aca="false">I67</f>
        <v>12250.1634399793</v>
      </c>
      <c r="K58" s="11" t="n">
        <f aca="false">J67</f>
        <v>11873.0426936575</v>
      </c>
      <c r="L58" s="11" t="n">
        <f aca="false">K67</f>
        <v>11495.9219473358</v>
      </c>
      <c r="M58" s="11" t="n">
        <f aca="false">L67</f>
        <v>11118.8935174724</v>
      </c>
      <c r="N58" s="11" t="n">
        <f aca="false">M67</f>
        <v>9483.15277115068</v>
      </c>
      <c r="O58" s="11" t="n">
        <f aca="false">N67</f>
        <v>8040.31741674676</v>
      </c>
      <c r="P58" s="11" t="n">
        <f aca="false">O67</f>
        <v>7605.79085333333</v>
      </c>
      <c r="Q58" s="11" t="n">
        <f aca="false">P67</f>
        <v>7605.79085333333</v>
      </c>
      <c r="R58" s="11" t="n">
        <f aca="false">Q67</f>
        <v>7605.79085333333</v>
      </c>
      <c r="S58" s="11" t="n">
        <f aca="false">R67</f>
        <v>7605.79085333333</v>
      </c>
      <c r="T58" s="11" t="n">
        <f aca="false">S67</f>
        <v>7605.79085333333</v>
      </c>
      <c r="U58" s="11" t="n">
        <f aca="false">T67</f>
        <v>7605.79085333333</v>
      </c>
      <c r="V58" s="11" t="n">
        <f aca="false">U67</f>
        <v>7605.79085333333</v>
      </c>
      <c r="W58" s="11" t="n">
        <f aca="false">V67</f>
        <v>7605.79085333333</v>
      </c>
      <c r="X58" s="11" t="n">
        <f aca="false">W67</f>
        <v>7605.79085333333</v>
      </c>
      <c r="Y58" s="11" t="n">
        <f aca="false">X67</f>
        <v>7605.79085333333</v>
      </c>
      <c r="Z58" s="11" t="n">
        <f aca="false">Y67</f>
        <v>7605.79085333333</v>
      </c>
      <c r="AA58" s="11" t="n">
        <f aca="false">Z67</f>
        <v>7605.79085333333</v>
      </c>
      <c r="AB58" s="11" t="n">
        <f aca="false">AA67</f>
        <v>7605.79085333333</v>
      </c>
      <c r="AC58" s="11" t="n">
        <f aca="false">AB67</f>
        <v>7932.62958737933</v>
      </c>
      <c r="AD58" s="11" t="n">
        <f aca="false">AC67</f>
        <v>8109.02158459395</v>
      </c>
      <c r="AE58" s="11" t="n">
        <f aca="false">AD67</f>
        <v>8285.41358180856</v>
      </c>
      <c r="AF58" s="11" t="n">
        <f aca="false">AE67</f>
        <v>7735.19179094098</v>
      </c>
      <c r="AG58" s="11" t="n">
        <f aca="false">AF67</f>
        <v>7912.53926760764</v>
      </c>
      <c r="AH58" s="11" t="n">
        <f aca="false">AG67</f>
        <v>8089.88674427431</v>
      </c>
    </row>
    <row r="59" customFormat="false" ht="15" hidden="false" customHeight="false" outlineLevel="0" collapsed="false">
      <c r="B59" s="5" t="s">
        <v>266</v>
      </c>
      <c r="C59" s="11"/>
      <c r="D59" s="11"/>
      <c r="E59" s="11" t="n">
        <f aca="false">E58+E55</f>
        <v>14222.1539166667</v>
      </c>
      <c r="F59" s="11" t="n">
        <f aca="false">F58+F55</f>
        <v>14399.5013933333</v>
      </c>
      <c r="G59" s="11" t="n">
        <f aca="false">G58+G55</f>
        <v>13850.20426</v>
      </c>
      <c r="H59" s="11" t="n">
        <f aca="false">H58+H55</f>
        <v>12634.9589931303</v>
      </c>
      <c r="I59" s="11" t="n">
        <f aca="false">I58+I55</f>
        <v>12251.0880975135</v>
      </c>
      <c r="J59" s="11" t="n">
        <f aca="false">J58+J55</f>
        <v>11873.9981731096</v>
      </c>
      <c r="K59" s="11" t="n">
        <f aca="false">K58+K55</f>
        <v>11496.8774267879</v>
      </c>
      <c r="L59" s="11" t="n">
        <f aca="false">L58+L55</f>
        <v>11119.756531171</v>
      </c>
      <c r="M59" s="11" t="n">
        <f aca="false">M58+M55</f>
        <v>9484.10825060273</v>
      </c>
      <c r="N59" s="11" t="n">
        <f aca="false">N58+N55</f>
        <v>8041.24207428101</v>
      </c>
      <c r="O59" s="11" t="n">
        <f aca="false">O58+O55</f>
        <v>6664.15200058199</v>
      </c>
      <c r="P59" s="11" t="n">
        <f aca="false">P58+P55</f>
        <v>5131.92558646366</v>
      </c>
      <c r="Q59" s="11" t="n">
        <f aca="false">Q58+Q55</f>
        <v>7727.27585633333</v>
      </c>
      <c r="R59" s="11" t="n">
        <f aca="false">R58+R55</f>
        <v>7727.27585633333</v>
      </c>
      <c r="S59" s="11" t="n">
        <f aca="false">S58+S55</f>
        <v>7000.63124633333</v>
      </c>
      <c r="T59" s="11" t="n">
        <f aca="false">T58+T55</f>
        <v>7727.27585633333</v>
      </c>
      <c r="U59" s="11" t="n">
        <f aca="false">U58+U55</f>
        <v>7727.27585633333</v>
      </c>
      <c r="V59" s="11" t="n">
        <f aca="false">V58+V55</f>
        <v>7727.27585633333</v>
      </c>
      <c r="W59" s="11" t="n">
        <f aca="false">W58+W55</f>
        <v>8529.61380945205</v>
      </c>
      <c r="X59" s="11" t="n">
        <f aca="false">X58+X55</f>
        <v>8529.61380945205</v>
      </c>
      <c r="Y59" s="11" t="n">
        <f aca="false">Y58+Y55</f>
        <v>7929.61380945206</v>
      </c>
      <c r="Z59" s="11" t="n">
        <f aca="false">Z58+Z55</f>
        <v>7463.86837945206</v>
      </c>
      <c r="AA59" s="11" t="n">
        <f aca="false">AA58+AA55</f>
        <v>8529.61380945205</v>
      </c>
      <c r="AB59" s="11" t="n">
        <f aca="false">AB58+AB55</f>
        <v>8529.61380945205</v>
      </c>
      <c r="AC59" s="11" t="n">
        <f aca="false">AC58+AC55</f>
        <v>8109.977064046</v>
      </c>
      <c r="AD59" s="11" t="n">
        <f aca="false">AD58+AD55</f>
        <v>8286.36906126061</v>
      </c>
      <c r="AE59" s="11" t="n">
        <f aca="false">AE58+AE55</f>
        <v>7736.11644847522</v>
      </c>
      <c r="AF59" s="11" t="n">
        <f aca="false">AF58+AF55</f>
        <v>7912.53926760764</v>
      </c>
      <c r="AG59" s="11" t="n">
        <f aca="false">AG58+AG55</f>
        <v>8089.88674427431</v>
      </c>
      <c r="AH59" s="11" t="n">
        <f aca="false">AH58+AH55</f>
        <v>8267.23422094098</v>
      </c>
    </row>
    <row r="60" customFormat="false" ht="15" hidden="false" customHeight="false" outlineLevel="0" collapsed="false">
      <c r="B60" s="5" t="s">
        <v>267</v>
      </c>
      <c r="C60" s="11"/>
      <c r="D60" s="11"/>
      <c r="E60" s="11" t="n">
        <f aca="false">0</f>
        <v>0</v>
      </c>
      <c r="F60" s="11" t="n">
        <f aca="false">E66</f>
        <v>0</v>
      </c>
      <c r="G60" s="11" t="n">
        <f aca="false">F66</f>
        <v>0</v>
      </c>
      <c r="H60" s="11" t="n">
        <f aca="false">G66</f>
        <v>0</v>
      </c>
      <c r="I60" s="11" t="n">
        <f aca="false">H66</f>
        <v>0</v>
      </c>
      <c r="J60" s="11" t="n">
        <f aca="false">I66</f>
        <v>0</v>
      </c>
      <c r="K60" s="11" t="n">
        <f aca="false">J66</f>
        <v>0</v>
      </c>
      <c r="L60" s="11" t="n">
        <f aca="false">K66</f>
        <v>0</v>
      </c>
      <c r="M60" s="11" t="n">
        <f aca="false">L66</f>
        <v>0</v>
      </c>
      <c r="N60" s="11" t="n">
        <f aca="false">M66</f>
        <v>0</v>
      </c>
      <c r="O60" s="11" t="n">
        <f aca="false">N66</f>
        <v>0</v>
      </c>
      <c r="P60" s="11" t="n">
        <f aca="false">O66</f>
        <v>945.767186779315</v>
      </c>
      <c r="Q60" s="11" t="n">
        <f aca="false">P66</f>
        <v>3431.69837852172</v>
      </c>
      <c r="R60" s="11" t="n">
        <f aca="false">Q66</f>
        <v>3322.68149789022</v>
      </c>
      <c r="S60" s="11" t="n">
        <f aca="false">R66</f>
        <v>3213.29888802492</v>
      </c>
      <c r="T60" s="11" t="n">
        <f aca="false">S66</f>
        <v>3831.82345610845</v>
      </c>
      <c r="U60" s="11" t="n">
        <f aca="false">T66</f>
        <v>3724.14891289476</v>
      </c>
      <c r="V60" s="11" t="n">
        <f aca="false">U66</f>
        <v>3615.67929746128</v>
      </c>
      <c r="W60" s="11" t="n">
        <f aca="false">V66</f>
        <v>3507.27963500852</v>
      </c>
      <c r="X60" s="11" t="n">
        <f aca="false">W66</f>
        <v>2596.17836084341</v>
      </c>
      <c r="Y60" s="11" t="n">
        <f aca="false">X66</f>
        <v>1681.39697270372</v>
      </c>
      <c r="Z60" s="11" t="n">
        <f aca="false">Y66</f>
        <v>1364.17023738794</v>
      </c>
      <c r="AA60" s="11" t="n">
        <f aca="false">Z66</f>
        <v>1511.92595031339</v>
      </c>
      <c r="AB60" s="11" t="n">
        <f aca="false">AA66</f>
        <v>594.13067454031</v>
      </c>
      <c r="AC60" s="11" t="n">
        <f aca="false">AB66</f>
        <v>0</v>
      </c>
      <c r="AD60" s="11" t="n">
        <f aca="false">AC66</f>
        <v>0</v>
      </c>
      <c r="AE60" s="11" t="n">
        <f aca="false">AD66</f>
        <v>0</v>
      </c>
      <c r="AF60" s="11" t="n">
        <f aca="false">AE66</f>
        <v>0</v>
      </c>
      <c r="AG60" s="11" t="n">
        <f aca="false">AF66</f>
        <v>0</v>
      </c>
      <c r="AH60" s="11" t="n">
        <f aca="false">AG66</f>
        <v>0</v>
      </c>
    </row>
    <row r="61" customFormat="false" ht="15" hidden="false" customHeight="false" outlineLevel="0" collapsed="false">
      <c r="B61" s="5" t="s">
        <v>268</v>
      </c>
      <c r="C61" s="11"/>
      <c r="D61" s="11"/>
      <c r="E61" s="11" t="n">
        <f aca="false">IF(E$19&gt;0,MAX(0,(E$21-E59+E60*가정!$D$66*E$7/365+MAX(0,E$19-E60)*가정!$D$67*E$7/365+E$20)/(1-가정!$D$66*E$7/365+가정!$D$67*E$7/365)),0)</f>
        <v>0</v>
      </c>
      <c r="F61" s="11" t="n">
        <f aca="false">IF(F$19&gt;0,MAX(0,(F$21-F59+F60*가정!$D$66*F$7/365+MAX(0,F$19-F60)*가정!$D$67*F$7/365+F$20)/(1-가정!$D$66*F$7/365+가정!$D$67*F$7/365)),0)</f>
        <v>0</v>
      </c>
      <c r="G61" s="11" t="n">
        <f aca="false">IF(G$19&gt;0,MAX(0,(G$21-G59+G60*가정!$D$66*G$7/365+MAX(0,G$19-G60)*가정!$D$67*G$7/365+G$20)/(1-가정!$D$66*G$7/365+가정!$D$67*G$7/365)),0)</f>
        <v>0</v>
      </c>
      <c r="H61" s="11" t="n">
        <f aca="false">IF(H$19&gt;0,MAX(0,(H$21-H59+H60*가정!$D$66*H$7/365+MAX(0,H$19-H60)*가정!$D$67*H$7/365+H$20)/(1-가정!$D$66*H$7/365+가정!$D$67*H$7/365)),0)</f>
        <v>0</v>
      </c>
      <c r="I61" s="11" t="n">
        <f aca="false">IF(I$19&gt;0,MAX(0,(I$21-I59+I60*가정!$D$66*I$7/365+MAX(0,I$19-I60)*가정!$D$67*I$7/365+I$20)/(1-가정!$D$66*I$7/365+가정!$D$67*I$7/365)),0)</f>
        <v>0</v>
      </c>
      <c r="J61" s="11" t="n">
        <f aca="false">IF(J$19&gt;0,MAX(0,(J$21-J59+J60*가정!$D$66*J$7/365+MAX(0,J$19-J60)*가정!$D$67*J$7/365+J$20)/(1-가정!$D$66*J$7/365+가정!$D$67*J$7/365)),0)</f>
        <v>0</v>
      </c>
      <c r="K61" s="11" t="n">
        <f aca="false">IF(K$19&gt;0,MAX(0,(K$21-K59+K60*가정!$D$66*K$7/365+MAX(0,K$19-K60)*가정!$D$67*K$7/365+K$20)/(1-가정!$D$66*K$7/365+가정!$D$67*K$7/365)),0)</f>
        <v>0</v>
      </c>
      <c r="L61" s="11" t="n">
        <f aca="false">IF(L$19&gt;0,MAX(0,(L$21-L59+L60*가정!$D$66*L$7/365+MAX(0,L$19-L60)*가정!$D$67*L$7/365+L$20)/(1-가정!$D$66*L$7/365+가정!$D$67*L$7/365)),0)</f>
        <v>0</v>
      </c>
      <c r="M61" s="11" t="n">
        <f aca="false">IF(M$19&gt;0,MAX(0,(M$21-M59+M60*가정!$D$66*M$7/365+MAX(0,M$19-M60)*가정!$D$67*M$7/365+M$20)/(1-가정!$D$66*M$7/365+가정!$D$67*M$7/365)),0)</f>
        <v>0</v>
      </c>
      <c r="N61" s="11" t="n">
        <f aca="false">IF(N$19&gt;0,MAX(0,(N$21-N59+N60*가정!$D$66*N$7/365+MAX(0,N$19-N60)*가정!$D$67*N$7/365+N$20)/(1-가정!$D$66*N$7/365+가정!$D$67*N$7/365)),0)</f>
        <v>0</v>
      </c>
      <c r="O61" s="11" t="n">
        <f aca="false">IF(O$19&gt;0,MAX(0,(O$21-O59+O60*가정!$D$66*O$7/365+MAX(0,O$19-O60)*가정!$D$67*O$7/365+O$20)/(1-가정!$D$66*O$7/365+가정!$D$67*O$7/365)),0)</f>
        <v>945.767186779315</v>
      </c>
      <c r="P61" s="11" t="n">
        <f aca="false">IF(P$19&gt;0,MAX(0,(P$21-P59+P60*가정!$D$66*P$7/365+MAX(0,P$19-P60)*가정!$D$67*P$7/365+P$20)/(1-가정!$D$66*P$7/365+가정!$D$67*P$7/365)),0)</f>
        <v>2485.93119174241</v>
      </c>
      <c r="Q61" s="11" t="n">
        <f aca="false">IF(Q$19&gt;0,MAX(0,(Q$21-Q59+Q60*가정!$D$66*Q$7/365+MAX(0,Q$19-Q60)*가정!$D$67*Q$7/365+Q$20)/(1-가정!$D$66*Q$7/365+가정!$D$67*Q$7/365)),0)</f>
        <v>0</v>
      </c>
      <c r="R61" s="11" t="n">
        <f aca="false">IF(R$19&gt;0,MAX(0,(R$21-R59+R60*가정!$D$66*R$7/365+MAX(0,R$19-R60)*가정!$D$67*R$7/365+R$20)/(1-가정!$D$66*R$7/365+가정!$D$67*R$7/365)),0)</f>
        <v>0</v>
      </c>
      <c r="S61" s="11" t="n">
        <f aca="false">IF(S$19&gt;0,MAX(0,(S$21-S59+S60*가정!$D$66*S$7/365+MAX(0,S$19-S60)*가정!$D$67*S$7/365+S$20)/(1-가정!$D$66*S$7/365+가정!$D$67*S$7/365)),0)</f>
        <v>618.52456808353</v>
      </c>
      <c r="T61" s="11" t="n">
        <f aca="false">IF(T$19&gt;0,MAX(0,(T$21-T59+T60*가정!$D$66*T$7/365+MAX(0,T$19-T60)*가정!$D$67*T$7/365+T$20)/(1-가정!$D$66*T$7/365+가정!$D$67*T$7/365)),0)</f>
        <v>0</v>
      </c>
      <c r="U61" s="11" t="n">
        <f aca="false">IF(U$19&gt;0,MAX(0,(U$21-U59+U60*가정!$D$66*U$7/365+MAX(0,U$19-U60)*가정!$D$67*U$7/365+U$20)/(1-가정!$D$66*U$7/365+가정!$D$67*U$7/365)),0)</f>
        <v>0</v>
      </c>
      <c r="V61" s="11" t="n">
        <f aca="false">IF(V$19&gt;0,MAX(0,(V$21-V59+V60*가정!$D$66*V$7/365+MAX(0,V$19-V60)*가정!$D$67*V$7/365+V$20)/(1-가정!$D$66*V$7/365+가정!$D$67*V$7/365)),0)</f>
        <v>0</v>
      </c>
      <c r="W61" s="11" t="n">
        <f aca="false">IF(W$19&gt;0,MAX(0,(W$21-W59+W60*가정!$D$66*W$7/365+MAX(0,W$19-W60)*가정!$D$67*W$7/365+W$20)/(1-가정!$D$66*W$7/365+가정!$D$67*W$7/365)),0)</f>
        <v>0</v>
      </c>
      <c r="X61" s="11" t="n">
        <f aca="false">IF(X$19&gt;0,MAX(0,(X$21-X59+X60*가정!$D$66*X$7/365+MAX(0,X$19-X60)*가정!$D$67*X$7/365+X$20)/(1-가정!$D$66*X$7/365+가정!$D$67*X$7/365)),0)</f>
        <v>0</v>
      </c>
      <c r="Y61" s="11" t="n">
        <f aca="false">IF(Y$19&gt;0,MAX(0,(Y$21-Y59+Y60*가정!$D$66*Y$7/365+MAX(0,Y$19-Y60)*가정!$D$67*Y$7/365+Y$20)/(1-가정!$D$66*Y$7/365+가정!$D$67*Y$7/365)),0)</f>
        <v>0</v>
      </c>
      <c r="Z61" s="11" t="n">
        <f aca="false">IF(Z$19&gt;0,MAX(0,(Z$21-Z59+Z60*가정!$D$66*Z$7/365+MAX(0,Z$19-Z60)*가정!$D$67*Z$7/365+Z$20)/(1-가정!$D$66*Z$7/365+가정!$D$67*Z$7/365)),0)</f>
        <v>147.755712925446</v>
      </c>
      <c r="AA61" s="11" t="n">
        <f aca="false">IF(AA$19&gt;0,MAX(0,(AA$21-AA59+AA60*가정!$D$66*AA$7/365+MAX(0,AA$19-AA60)*가정!$D$67*AA$7/365+AA$20)/(1-가정!$D$66*AA$7/365+가정!$D$67*AA$7/365)),0)</f>
        <v>0</v>
      </c>
      <c r="AB61" s="11" t="n">
        <f aca="false">IF(AB$19&gt;0,MAX(0,(AB$21-AB59+AB60*가정!$D$66*AB$7/365+MAX(0,AB$19-AB60)*가정!$D$67*AB$7/365+AB$20)/(1-가정!$D$66*AB$7/365+가정!$D$67*AB$7/365)),0)</f>
        <v>0</v>
      </c>
      <c r="AC61" s="11" t="n">
        <f aca="false">IF(AC$19&gt;0,MAX(0,(AC$21-AC59+AC60*가정!$D$66*AC$7/365+MAX(0,AC$19-AC60)*가정!$D$67*AC$7/365+AC$20)/(1-가정!$D$66*AC$7/365+가정!$D$67*AC$7/365)),0)</f>
        <v>0</v>
      </c>
      <c r="AD61" s="11" t="n">
        <f aca="false">IF(AD$19&gt;0,MAX(0,(AD$21-AD59+AD60*가정!$D$66*AD$7/365+MAX(0,AD$19-AD60)*가정!$D$67*AD$7/365+AD$20)/(1-가정!$D$66*AD$7/365+가정!$D$67*AD$7/365)),0)</f>
        <v>0</v>
      </c>
      <c r="AE61" s="11" t="n">
        <f aca="false">IF(AE$19&gt;0,MAX(0,(AE$21-AE59+AE60*가정!$D$66*AE$7/365+MAX(0,AE$19-AE60)*가정!$D$67*AE$7/365+AE$20)/(1-가정!$D$66*AE$7/365+가정!$D$67*AE$7/365)),0)</f>
        <v>0</v>
      </c>
      <c r="AF61" s="11" t="n">
        <f aca="false">IF(AF$19&gt;0,MAX(0,(AF$21-AF59+AF60*가정!$D$66*AF$7/365+MAX(0,AF$19-AF60)*가정!$D$67*AF$7/365+AF$20)/(1-가정!$D$66*AF$7/365+가정!$D$67*AF$7/365)),0)</f>
        <v>0</v>
      </c>
      <c r="AG61" s="11" t="n">
        <f aca="false">IF(AG$19&gt;0,MAX(0,(AG$21-AG59+AG60*가정!$D$66*AG$7/365+MAX(0,AG$19-AG60)*가정!$D$67*AG$7/365+AG$20)/(1-가정!$D$66*AG$7/365+가정!$D$67*AG$7/365)),0)</f>
        <v>0</v>
      </c>
      <c r="AH61" s="11" t="n">
        <f aca="false">IF(AH$19&gt;0,MAX(0,(AH$21-AH59+AH60*가정!$D$66*AH$7/365+MAX(0,AH$19-AH60)*가정!$D$67*AH$7/365+AH$20)/(1-가정!$D$66*AH$7/365+가정!$D$67*AH$7/365)),0)</f>
        <v>0</v>
      </c>
    </row>
    <row r="62" customFormat="false" ht="15" hidden="false" customHeight="false" outlineLevel="0" collapsed="false">
      <c r="B62" s="19" t="s">
        <v>269</v>
      </c>
      <c r="C62" s="21" t="n">
        <f aca="false">SUM(E62:AH62)</f>
        <v>4197.9786595307</v>
      </c>
      <c r="D62" s="21"/>
      <c r="E62" s="21" t="n">
        <f aca="false">MIN(MAX(0,E$19-E60),E61)</f>
        <v>0</v>
      </c>
      <c r="F62" s="21" t="n">
        <f aca="false">MIN(MAX(0,F$19-F60),F61)</f>
        <v>0</v>
      </c>
      <c r="G62" s="21" t="n">
        <f aca="false">MIN(MAX(0,G$19-G60),G61)</f>
        <v>0</v>
      </c>
      <c r="H62" s="21" t="n">
        <f aca="false">MIN(MAX(0,H$19-H60),H61)</f>
        <v>0</v>
      </c>
      <c r="I62" s="21" t="n">
        <f aca="false">MIN(MAX(0,I$19-I60),I61)</f>
        <v>0</v>
      </c>
      <c r="J62" s="21" t="n">
        <f aca="false">MIN(MAX(0,J$19-J60),J61)</f>
        <v>0</v>
      </c>
      <c r="K62" s="21" t="n">
        <f aca="false">MIN(MAX(0,K$19-K60),K61)</f>
        <v>0</v>
      </c>
      <c r="L62" s="21" t="n">
        <f aca="false">MIN(MAX(0,L$19-L60),L61)</f>
        <v>0</v>
      </c>
      <c r="M62" s="21" t="n">
        <f aca="false">MIN(MAX(0,M$19-M60),M61)</f>
        <v>0</v>
      </c>
      <c r="N62" s="21" t="n">
        <f aca="false">MIN(MAX(0,N$19-N60),N61)</f>
        <v>0</v>
      </c>
      <c r="O62" s="21" t="n">
        <f aca="false">MIN(MAX(0,O$19-O60),O61)</f>
        <v>945.767186779315</v>
      </c>
      <c r="P62" s="21" t="n">
        <f aca="false">MIN(MAX(0,P$19-P60),P61)</f>
        <v>2485.93119174241</v>
      </c>
      <c r="Q62" s="21" t="n">
        <f aca="false">MIN(MAX(0,Q$19-Q60),Q61)</f>
        <v>0</v>
      </c>
      <c r="R62" s="21" t="n">
        <f aca="false">MIN(MAX(0,R$19-R60),R61)</f>
        <v>0</v>
      </c>
      <c r="S62" s="21" t="n">
        <f aca="false">MIN(MAX(0,S$19-S60),S61)</f>
        <v>618.52456808353</v>
      </c>
      <c r="T62" s="21" t="n">
        <f aca="false">MIN(MAX(0,T$19-T60),T61)</f>
        <v>0</v>
      </c>
      <c r="U62" s="21" t="n">
        <f aca="false">MIN(MAX(0,U$19-U60),U61)</f>
        <v>0</v>
      </c>
      <c r="V62" s="21" t="n">
        <f aca="false">MIN(MAX(0,V$19-V60),V61)</f>
        <v>0</v>
      </c>
      <c r="W62" s="21" t="n">
        <f aca="false">MIN(MAX(0,W$19-W60),W61)</f>
        <v>0</v>
      </c>
      <c r="X62" s="21" t="n">
        <f aca="false">MIN(MAX(0,X$19-X60),X61)</f>
        <v>0</v>
      </c>
      <c r="Y62" s="21" t="n">
        <f aca="false">MIN(MAX(0,Y$19-Y60),Y61)</f>
        <v>0</v>
      </c>
      <c r="Z62" s="21" t="n">
        <f aca="false">MIN(MAX(0,Z$19-Z60),Z61)</f>
        <v>147.755712925446</v>
      </c>
      <c r="AA62" s="21" t="n">
        <f aca="false">MIN(MAX(0,AA$19-AA60),AA61)</f>
        <v>0</v>
      </c>
      <c r="AB62" s="21" t="n">
        <f aca="false">MIN(MAX(0,AB$19-AB60),AB61)</f>
        <v>0</v>
      </c>
      <c r="AC62" s="21" t="n">
        <f aca="false">MIN(MAX(0,AC$19-AC60),AC61)</f>
        <v>0</v>
      </c>
      <c r="AD62" s="21" t="n">
        <f aca="false">MIN(MAX(0,AD$19-AD60),AD61)</f>
        <v>0</v>
      </c>
      <c r="AE62" s="21" t="n">
        <f aca="false">MIN(MAX(0,AE$19-AE60),AE61)</f>
        <v>0</v>
      </c>
      <c r="AF62" s="21" t="n">
        <f aca="false">MIN(MAX(0,AF$19-AF60),AF61)</f>
        <v>0</v>
      </c>
      <c r="AG62" s="21" t="n">
        <f aca="false">MIN(MAX(0,AG$19-AG60),AG61)</f>
        <v>0</v>
      </c>
      <c r="AH62" s="21" t="n">
        <f aca="false">MIN(MAX(0,AH$19-AH60),AH61)</f>
        <v>0</v>
      </c>
    </row>
    <row r="63" customFormat="false" ht="15" hidden="false" customHeight="false" outlineLevel="0" collapsed="false">
      <c r="B63" s="5" t="s">
        <v>270</v>
      </c>
      <c r="C63" s="11" t="n">
        <f aca="false">SUM(E63:AH63)</f>
        <v>131.799085821032</v>
      </c>
      <c r="D63" s="11"/>
      <c r="E63" s="11" t="n">
        <f aca="false">(E60+E62)*가정!$D$66*E$7/365</f>
        <v>0</v>
      </c>
      <c r="F63" s="11" t="n">
        <f aca="false">(F60+F62)*가정!$D$66*F$7/365</f>
        <v>0</v>
      </c>
      <c r="G63" s="11" t="n">
        <f aca="false">(G60+G62)*가정!$D$66*G$7/365</f>
        <v>0</v>
      </c>
      <c r="H63" s="11" t="n">
        <f aca="false">(H60+H62)*가정!$D$66*H$7/365</f>
        <v>0</v>
      </c>
      <c r="I63" s="11" t="n">
        <f aca="false">(I60+I62)*가정!$D$66*I$7/365</f>
        <v>0</v>
      </c>
      <c r="J63" s="11" t="n">
        <f aca="false">(J60+J62)*가정!$D$66*J$7/365</f>
        <v>0</v>
      </c>
      <c r="K63" s="11" t="n">
        <f aca="false">(K60+K62)*가정!$D$66*K$7/365</f>
        <v>0</v>
      </c>
      <c r="L63" s="11" t="n">
        <f aca="false">(L60+L62)*가정!$D$66*L$7/365</f>
        <v>0</v>
      </c>
      <c r="M63" s="11" t="n">
        <f aca="false">(M60+M62)*가정!$D$66*M$7/365</f>
        <v>0</v>
      </c>
      <c r="N63" s="11" t="n">
        <f aca="false">(N60+N62)*가정!$D$66*N$7/365</f>
        <v>0</v>
      </c>
      <c r="O63" s="11" t="n">
        <f aca="false">(O60+O62)*가정!$D$66*O$7/365</f>
        <v>3.3736681566758</v>
      </c>
      <c r="P63" s="11" t="n">
        <f aca="false">(P60+P62)*가정!$D$66*P$7/365</f>
        <v>11.8464108409243</v>
      </c>
      <c r="Q63" s="11" t="n">
        <f aca="false">(Q60+Q62)*가정!$D$66*Q$7/365</f>
        <v>12.2412912022884</v>
      </c>
      <c r="R63" s="11" t="n">
        <f aca="false">(R60+R62)*가정!$D$66*R$7/365</f>
        <v>11.8524145486385</v>
      </c>
      <c r="S63" s="11" t="n">
        <f aca="false">(S60+S62)*가정!$D$66*S$7/365</f>
        <v>13.2276645334155</v>
      </c>
      <c r="T63" s="11" t="n">
        <f aca="false">(T60+T62)*가정!$D$66*T$7/365</f>
        <v>13.6685866845293</v>
      </c>
      <c r="U63" s="11" t="n">
        <f aca="false">(U60+U62)*가정!$D$66*U$7/365</f>
        <v>12.8559661102668</v>
      </c>
      <c r="V63" s="11" t="n">
        <f aca="false">(V60+V62)*가정!$D$66*V$7/365</f>
        <v>12.8975738227249</v>
      </c>
      <c r="W63" s="11" t="n">
        <f aca="false">(W60+W62)*가정!$D$66*W$7/365</f>
        <v>12.510898862414</v>
      </c>
      <c r="X63" s="11" t="n">
        <f aca="false">(X60+X62)*가정!$D$66*X$7/365</f>
        <v>8.66341162604733</v>
      </c>
      <c r="Y63" s="11" t="n">
        <f aca="false">(Y60+Y62)*가정!$D$66*Y$7/365</f>
        <v>5.99775029715135</v>
      </c>
      <c r="Z63" s="11" t="n">
        <f aca="false">(Z60+Z62)*가정!$D$66*Z$7/365</f>
        <v>5.21925122573938</v>
      </c>
      <c r="AA63" s="11" t="n">
        <f aca="false">(AA60+AA62)*가정!$D$66*AA$7/365</f>
        <v>5.39322626659736</v>
      </c>
      <c r="AB63" s="11" t="n">
        <f aca="false">(AB60+AB62)*가정!$D$66*AB$7/365</f>
        <v>2.0509716436186</v>
      </c>
      <c r="AC63" s="11" t="n">
        <f aca="false">(AC60+AC62)*가정!$D$66*AC$7/365</f>
        <v>0</v>
      </c>
      <c r="AD63" s="11" t="n">
        <f aca="false">(AD60+AD62)*가정!$D$66*AD$7/365</f>
        <v>0</v>
      </c>
      <c r="AE63" s="11" t="n">
        <f aca="false">(AE60+AE62)*가정!$D$66*AE$7/365</f>
        <v>0</v>
      </c>
      <c r="AF63" s="11" t="n">
        <f aca="false">(AF60+AF62)*가정!$D$66*AF$7/365</f>
        <v>0</v>
      </c>
      <c r="AG63" s="11" t="n">
        <f aca="false">(AG60+AG62)*가정!$D$66*AG$7/365</f>
        <v>0</v>
      </c>
      <c r="AH63" s="11" t="n">
        <f aca="false">(AH60+AH62)*가정!$D$66*AH$7/365</f>
        <v>0</v>
      </c>
    </row>
    <row r="64" customFormat="false" ht="15" hidden="false" customHeight="false" outlineLevel="0" collapsed="false">
      <c r="B64" s="5" t="s">
        <v>19</v>
      </c>
      <c r="C64" s="11" t="n">
        <f aca="false">SUM(E64:AH64)</f>
        <v>14.6856382379849</v>
      </c>
      <c r="D64" s="11"/>
      <c r="E64" s="11" t="n">
        <f aca="false">MAX(0,E$19-E60-E62)*가정!$D$67*E$7/365</f>
        <v>0</v>
      </c>
      <c r="F64" s="11" t="n">
        <f aca="false">MAX(0,F$19-F60-F62)*가정!$D$67*F$7/365</f>
        <v>0</v>
      </c>
      <c r="G64" s="11" t="n">
        <f aca="false">MAX(0,G$19-G60-G62)*가정!$D$67*G$7/365</f>
        <v>0</v>
      </c>
      <c r="H64" s="11" t="n">
        <f aca="false">MAX(0,H$19-H60-H62)*가정!$D$67*H$7/365</f>
        <v>0.955479452054795</v>
      </c>
      <c r="I64" s="11" t="n">
        <f aca="false">MAX(0,I$19-I60-I62)*가정!$D$67*I$7/365</f>
        <v>0.924657534246575</v>
      </c>
      <c r="J64" s="11" t="n">
        <f aca="false">MAX(0,J$19-J60-J62)*가정!$D$67*J$7/365</f>
        <v>0.955479452054795</v>
      </c>
      <c r="K64" s="11" t="n">
        <f aca="false">MAX(0,K$19-K60-K62)*가정!$D$67*K$7/365</f>
        <v>0.955479452054795</v>
      </c>
      <c r="L64" s="11" t="n">
        <f aca="false">MAX(0,L$19-L60-L62)*가정!$D$67*L$7/365</f>
        <v>0.863013698630137</v>
      </c>
      <c r="M64" s="11" t="n">
        <f aca="false">MAX(0,M$19-M60-M62)*가정!$D$67*M$7/365</f>
        <v>0.955479452054795</v>
      </c>
      <c r="N64" s="11" t="n">
        <f aca="false">MAX(0,N$19-N60-N62)*가정!$D$67*N$7/365</f>
        <v>0.924657534246575</v>
      </c>
      <c r="O64" s="11" t="n">
        <f aca="false">MAX(0,O$19-O60-O62)*가정!$D$67*O$7/365</f>
        <v>0.754665871300282</v>
      </c>
      <c r="P64" s="11" t="n">
        <f aca="false">MAX(0,P$19-P60-P62)*가정!$D$67*P$7/365</f>
        <v>0.219514031810605</v>
      </c>
      <c r="Q64" s="11" t="n">
        <f aca="false">MAX(0,Q$19-Q60-Q62)*가정!$D$67*Q$7/365</f>
        <v>0.226831166204292</v>
      </c>
      <c r="R64" s="11" t="n">
        <f aca="false">MAX(0,R$19-R60-R62)*가정!$D$67*R$7/365</f>
        <v>0.249978586064406</v>
      </c>
      <c r="S64" s="11" t="n">
        <f aca="false">MAX(0,S$19-S60-S62)*가정!$D$67*S$7/365</f>
        <v>0.137296550114703</v>
      </c>
      <c r="T64" s="11" t="n">
        <f aca="false">MAX(0,T$19-T60-T62)*가정!$D$67*T$7/365</f>
        <v>0.141873101785193</v>
      </c>
      <c r="U64" s="11" t="n">
        <f aca="false">MAX(0,U$19-U60-U62)*가정!$D$67*U$7/365</f>
        <v>0.159421456254501</v>
      </c>
      <c r="V64" s="11" t="n">
        <f aca="false">MAX(0,V$19-V60-V62)*가정!$D$67*V$7/365</f>
        <v>0.187766724511645</v>
      </c>
      <c r="W64" s="11" t="n">
        <f aca="false">MAX(0,W$19-W60-W62)*가정!$D$67*W$7/365</f>
        <v>0.210783091196821</v>
      </c>
      <c r="X64" s="11" t="n">
        <f aca="false">MAX(0,X$19-X60-X62)*가정!$D$67*X$7/365</f>
        <v>0.378156352983158</v>
      </c>
      <c r="Y64" s="11" t="n">
        <f aca="false">MAX(0,Y$19-Y60-Y62)*가정!$D$67*Y$7/365</f>
        <v>0.598470505795786</v>
      </c>
      <c r="Z64" s="11" t="n">
        <f aca="false">MAX(0,Z$19-Z60-Z62)*가정!$D$67*Z$7/365</f>
        <v>0.613987818428755</v>
      </c>
      <c r="AA64" s="11" t="n">
        <f aca="false">MAX(0,AA$19-AA60-AA62)*가정!$D$67*AA$7/365</f>
        <v>0.634454079043047</v>
      </c>
      <c r="AB64" s="11" t="n">
        <f aca="false">MAX(0,AB$19-AB60-AB62)*가정!$D$67*AB$7/365</f>
        <v>0.802575888793087</v>
      </c>
      <c r="AC64" s="11" t="n">
        <f aca="false">MAX(0,AC$19-AC60-AC62)*가정!$D$67*AC$7/365</f>
        <v>0.955479452054795</v>
      </c>
      <c r="AD64" s="11" t="n">
        <f aca="false">MAX(0,AD$19-AD60-AD62)*가정!$D$67*AD$7/365</f>
        <v>0.955479452054795</v>
      </c>
      <c r="AE64" s="11" t="n">
        <f aca="false">MAX(0,AE$19-AE60-AE62)*가정!$D$67*AE$7/365</f>
        <v>0.924657534246575</v>
      </c>
      <c r="AF64" s="11" t="n">
        <f aca="false">MAX(0,AF$19-AF60-AF62)*가정!$D$67*AF$7/365</f>
        <v>0</v>
      </c>
      <c r="AG64" s="11" t="n">
        <f aca="false">MAX(0,AG$19-AG60-AG62)*가정!$D$67*AG$7/365</f>
        <v>0</v>
      </c>
      <c r="AH64" s="11" t="n">
        <f aca="false">MAX(0,AH$19-AH60-AH62)*가정!$D$67*AH$7/365</f>
        <v>0</v>
      </c>
    </row>
    <row r="65" customFormat="false" ht="15" hidden="false" customHeight="false" outlineLevel="0" collapsed="false">
      <c r="B65" s="5" t="s">
        <v>271</v>
      </c>
      <c r="C65" s="11" t="n">
        <f aca="false">SUM(E65:AH65)</f>
        <v>4197.9786595307</v>
      </c>
      <c r="D65" s="11"/>
      <c r="E65" s="11" t="n">
        <f aca="false">IF(E$6=EOMONTH(가정!$C$70,0),E60+E62,MIN(E60+E62,MAX(0,E59+E62-E$20-E63-E64-E$21)))</f>
        <v>0</v>
      </c>
      <c r="F65" s="11" t="n">
        <f aca="false">IF(F$6=EOMONTH(가정!$C$70,0),F60+F62,MIN(F60+F62,MAX(0,F59+F62-F$20-F63-F64-F$21)))</f>
        <v>0</v>
      </c>
      <c r="G65" s="11" t="n">
        <f aca="false">IF(G$6=EOMONTH(가정!$C$70,0),G60+G62,MIN(G60+G62,MAX(0,G59+G62-G$20-G63-G64-G$21)))</f>
        <v>0</v>
      </c>
      <c r="H65" s="11" t="n">
        <f aca="false">IF(H$6=EOMONTH(가정!$C$70,0),H60+H62,MIN(H60+H62,MAX(0,H59+H62-H$20-H63-H64-H$21)))</f>
        <v>0</v>
      </c>
      <c r="I65" s="11" t="n">
        <f aca="false">IF(I$6=EOMONTH(가정!$C$70,0),I60+I62,MIN(I60+I62,MAX(0,I59+I62-I$20-I63-I64-I$21)))</f>
        <v>0</v>
      </c>
      <c r="J65" s="11" t="n">
        <f aca="false">IF(J$6=EOMONTH(가정!$C$70,0),J60+J62,MIN(J60+J62,MAX(0,J59+J62-J$20-J63-J64-J$21)))</f>
        <v>0</v>
      </c>
      <c r="K65" s="11" t="n">
        <f aca="false">IF(K$6=EOMONTH(가정!$C$70,0),K60+K62,MIN(K60+K62,MAX(0,K59+K62-K$20-K63-K64-K$21)))</f>
        <v>0</v>
      </c>
      <c r="L65" s="11" t="n">
        <f aca="false">IF(L$6=EOMONTH(가정!$C$70,0),L60+L62,MIN(L60+L62,MAX(0,L59+L62-L$20-L63-L64-L$21)))</f>
        <v>0</v>
      </c>
      <c r="M65" s="11" t="n">
        <f aca="false">IF(M$6=EOMONTH(가정!$C$70,0),M60+M62,MIN(M60+M62,MAX(0,M59+M62-M$20-M63-M64-M$21)))</f>
        <v>0</v>
      </c>
      <c r="N65" s="11" t="n">
        <f aca="false">IF(N$6=EOMONTH(가정!$C$70,0),N60+N62,MIN(N60+N62,MAX(0,N59+N62-N$20-N63-N64-N$21)))</f>
        <v>0</v>
      </c>
      <c r="O65" s="11" t="n">
        <f aca="false">IF(O$6=EOMONTH(가정!$C$70,0),O60+O62,MIN(O60+O62,MAX(0,O59+O62-O$20-O63-O64-O$21)))</f>
        <v>0</v>
      </c>
      <c r="P65" s="11" t="n">
        <f aca="false">IF(P$6=EOMONTH(가정!$C$70,0),P60+P62,MIN(P60+P62,MAX(0,P59+P62-P$20-P63-P64-P$21)))</f>
        <v>0</v>
      </c>
      <c r="Q65" s="11" t="n">
        <f aca="false">IF(Q$6=EOMONTH(가정!$C$70,0),Q60+Q62,MIN(Q60+Q62,MAX(0,Q59+Q62-Q$20-Q63-Q64-Q$21)))</f>
        <v>109.016880631507</v>
      </c>
      <c r="R65" s="11" t="n">
        <f aca="false">IF(R$6=EOMONTH(가정!$C$70,0),R60+R62,MIN(R60+R62,MAX(0,R59+R62-R$20-R63-R64-R$21)))</f>
        <v>109.382609865297</v>
      </c>
      <c r="S65" s="11" t="n">
        <f aca="false">IF(S$6=EOMONTH(가정!$C$70,0),S60+S62,MIN(S60+S62,MAX(0,S59+S62-S$20-S63-S64-S$21)))</f>
        <v>0</v>
      </c>
      <c r="T65" s="11" t="n">
        <f aca="false">IF(T$6=EOMONTH(가정!$C$70,0),T60+T62,MIN(T60+T62,MAX(0,T59+T62-T$20-T63-T64-T$21)))</f>
        <v>107.674543213686</v>
      </c>
      <c r="U65" s="11" t="n">
        <f aca="false">IF(U$6=EOMONTH(가정!$C$70,0),U60+U62,MIN(U60+U62,MAX(0,U59+U62-U$20-U63-U64-U$21)))</f>
        <v>108.469615433478</v>
      </c>
      <c r="V65" s="11" t="n">
        <f aca="false">IF(V$6=EOMONTH(가정!$C$70,0),V60+V62,MIN(V60+V62,MAX(0,V59+V62-V$20-V63-V64-V$21)))</f>
        <v>108.399662452764</v>
      </c>
      <c r="W65" s="11" t="n">
        <f aca="false">IF(W$6=EOMONTH(가정!$C$70,0),W60+W62,MIN(W60+W62,MAX(0,W59+W62-W$20-W63-W64-W$21)))</f>
        <v>911.101274165109</v>
      </c>
      <c r="X65" s="11" t="n">
        <f aca="false">IF(X$6=EOMONTH(가정!$C$70,0),X60+X62,MIN(X60+X62,MAX(0,X59+X62-X$20-X63-X64-X$21)))</f>
        <v>914.781388139691</v>
      </c>
      <c r="Y65" s="11" t="n">
        <f aca="false">IF(Y$6=EOMONTH(가정!$C$70,0),Y60+Y62,MIN(Y60+Y62,MAX(0,Y59+Y62-Y$20-Y63-Y64-Y$21)))</f>
        <v>317.226735315775</v>
      </c>
      <c r="Z65" s="11" t="n">
        <f aca="false">IF(Z$6=EOMONTH(가정!$C$70,0),Z60+Z62,MIN(Z60+Z62,MAX(0,Z59+Z62-Z$20-Z63-Z64-Z$21)))</f>
        <v>0</v>
      </c>
      <c r="AA65" s="11" t="n">
        <f aca="false">IF(AA$6=EOMONTH(가정!$C$70,0),AA60+AA62,MIN(AA60+AA62,MAX(0,AA59+AA62-AA$20-AA63-AA64-AA$21)))</f>
        <v>917.795275773081</v>
      </c>
      <c r="AB65" s="11" t="n">
        <f aca="false">IF(AB$6=EOMONTH(가정!$C$70,0),AB60+AB62,MIN(AB60+AB62,MAX(0,AB59+AB62-AB$20-AB63-AB64-AB$21)))</f>
        <v>594.13067454031</v>
      </c>
      <c r="AC65" s="11" t="n">
        <f aca="false">IF(AC$6=EOMONTH(가정!$C$70,0),AC60+AC62,MIN(AC60+AC62,MAX(0,AC59+AC62-AC$20-AC63-AC64-AC$21)))</f>
        <v>0</v>
      </c>
      <c r="AD65" s="11" t="n">
        <f aca="false">IF(AD$6=EOMONTH(가정!$C$70,0),AD60+AD62,MIN(AD60+AD62,MAX(0,AD59+AD62-AD$20-AD63-AD64-AD$21)))</f>
        <v>0</v>
      </c>
      <c r="AE65" s="11" t="n">
        <f aca="false">IF(AE$6=EOMONTH(가정!$C$70,0),AE60+AE62,MIN(AE60+AE62,MAX(0,AE59+AE62-AE$20-AE63-AE64-AE$21)))</f>
        <v>0</v>
      </c>
      <c r="AF65" s="11" t="n">
        <f aca="false">IF(AF$6=EOMONTH(가정!$C$70,0),AF60+AF62,MIN(AF60+AF62,MAX(0,AF59+AF62-AF$20-AF63-AF64-AF$21)))</f>
        <v>0</v>
      </c>
      <c r="AG65" s="11" t="n">
        <f aca="false">IF(AG$6=EOMONTH(가정!$C$70,0),AG60+AG62,MIN(AG60+AG62,MAX(0,AG59+AG62-AG$20-AG63-AG64-AG$21)))</f>
        <v>0</v>
      </c>
      <c r="AH65" s="11" t="n">
        <f aca="false">IF(AH$6=EOMONTH(가정!$C$70,0),AH60+AH62,MIN(AH60+AH62,MAX(0,AH59+AH62-AH$20-AH63-AH64-AH$21)))</f>
        <v>0</v>
      </c>
    </row>
    <row r="66" customFormat="false" ht="15" hidden="false" customHeight="false" outlineLevel="0" collapsed="false">
      <c r="B66" s="19" t="s">
        <v>272</v>
      </c>
      <c r="C66" s="21"/>
      <c r="D66" s="21"/>
      <c r="E66" s="21" t="n">
        <f aca="false">E60+E62-E65</f>
        <v>0</v>
      </c>
      <c r="F66" s="21" t="n">
        <f aca="false">F60+F62-F65</f>
        <v>0</v>
      </c>
      <c r="G66" s="21" t="n">
        <f aca="false">G60+G62-G65</f>
        <v>0</v>
      </c>
      <c r="H66" s="21" t="n">
        <f aca="false">H60+H62-H65</f>
        <v>0</v>
      </c>
      <c r="I66" s="21" t="n">
        <f aca="false">I60+I62-I65</f>
        <v>0</v>
      </c>
      <c r="J66" s="21" t="n">
        <f aca="false">J60+J62-J65</f>
        <v>0</v>
      </c>
      <c r="K66" s="21" t="n">
        <f aca="false">K60+K62-K65</f>
        <v>0</v>
      </c>
      <c r="L66" s="21" t="n">
        <f aca="false">L60+L62-L65</f>
        <v>0</v>
      </c>
      <c r="M66" s="21" t="n">
        <f aca="false">M60+M62-M65</f>
        <v>0</v>
      </c>
      <c r="N66" s="21" t="n">
        <f aca="false">N60+N62-N65</f>
        <v>0</v>
      </c>
      <c r="O66" s="21" t="n">
        <f aca="false">O60+O62-O65</f>
        <v>945.767186779315</v>
      </c>
      <c r="P66" s="21" t="n">
        <f aca="false">P60+P62-P65</f>
        <v>3431.69837852172</v>
      </c>
      <c r="Q66" s="21" t="n">
        <f aca="false">Q60+Q62-Q65</f>
        <v>3322.68149789022</v>
      </c>
      <c r="R66" s="21" t="n">
        <f aca="false">R60+R62-R65</f>
        <v>3213.29888802492</v>
      </c>
      <c r="S66" s="21" t="n">
        <f aca="false">S60+S62-S65</f>
        <v>3831.82345610845</v>
      </c>
      <c r="T66" s="21" t="n">
        <f aca="false">T60+T62-T65</f>
        <v>3724.14891289476</v>
      </c>
      <c r="U66" s="21" t="n">
        <f aca="false">U60+U62-U65</f>
        <v>3615.67929746128</v>
      </c>
      <c r="V66" s="21" t="n">
        <f aca="false">V60+V62-V65</f>
        <v>3507.27963500852</v>
      </c>
      <c r="W66" s="21" t="n">
        <f aca="false">W60+W62-W65</f>
        <v>2596.17836084341</v>
      </c>
      <c r="X66" s="21" t="n">
        <f aca="false">X60+X62-X65</f>
        <v>1681.39697270372</v>
      </c>
      <c r="Y66" s="21" t="n">
        <f aca="false">Y60+Y62-Y65</f>
        <v>1364.17023738794</v>
      </c>
      <c r="Z66" s="21" t="n">
        <f aca="false">Z60+Z62-Z65</f>
        <v>1511.92595031339</v>
      </c>
      <c r="AA66" s="21" t="n">
        <f aca="false">AA60+AA62-AA65</f>
        <v>594.13067454031</v>
      </c>
      <c r="AB66" s="21" t="n">
        <f aca="false">AB60+AB62-AB65</f>
        <v>0</v>
      </c>
      <c r="AC66" s="21" t="n">
        <f aca="false">AC60+AC62-AC65</f>
        <v>0</v>
      </c>
      <c r="AD66" s="21" t="n">
        <f aca="false">AD60+AD62-AD65</f>
        <v>0</v>
      </c>
      <c r="AE66" s="21" t="n">
        <f aca="false">AE60+AE62-AE65</f>
        <v>0</v>
      </c>
      <c r="AF66" s="21" t="n">
        <f aca="false">AF60+AF62-AF65</f>
        <v>0</v>
      </c>
      <c r="AG66" s="21" t="n">
        <f aca="false">AG60+AG62-AG65</f>
        <v>0</v>
      </c>
      <c r="AH66" s="21" t="n">
        <f aca="false">AH60+AH62-AH65</f>
        <v>0</v>
      </c>
    </row>
    <row r="67" customFormat="false" ht="15" hidden="false" customHeight="false" outlineLevel="0" collapsed="false">
      <c r="B67" s="8" t="s">
        <v>273</v>
      </c>
      <c r="C67" s="21"/>
      <c r="D67" s="21" t="n">
        <f aca="false">MIN(E67:AH67)</f>
        <v>7605.79085333333</v>
      </c>
      <c r="E67" s="21" t="n">
        <f aca="false">E59+E62-E$20-E63-E64-E65</f>
        <v>14222.1539166667</v>
      </c>
      <c r="F67" s="21" t="n">
        <f aca="false">F59+F62-F$20-F63-F64-F65</f>
        <v>14399.5013933333</v>
      </c>
      <c r="G67" s="21" t="n">
        <f aca="false">G59+G62-G$20-G63-G64-G65</f>
        <v>13850.20426</v>
      </c>
      <c r="H67" s="21" t="n">
        <f aca="false">H59+H62-H$20-H63-H64-H65</f>
        <v>12627.2535136783</v>
      </c>
      <c r="I67" s="21" t="n">
        <f aca="false">I59+I62-I$20-I63-I64-I65</f>
        <v>12250.1634399793</v>
      </c>
      <c r="J67" s="21" t="n">
        <f aca="false">J59+J62-J$20-J63-J64-J65</f>
        <v>11873.0426936575</v>
      </c>
      <c r="K67" s="21" t="n">
        <f aca="false">K59+K62-K$20-K63-K64-K65</f>
        <v>11495.9219473358</v>
      </c>
      <c r="L67" s="21" t="n">
        <f aca="false">L59+L62-L$20-L63-L64-L65</f>
        <v>11118.8935174724</v>
      </c>
      <c r="M67" s="21" t="n">
        <f aca="false">M59+M62-M$20-M63-M64-M65</f>
        <v>9483.15277115068</v>
      </c>
      <c r="N67" s="21" t="n">
        <f aca="false">N59+N62-N$20-N63-N64-N65</f>
        <v>8040.31741674676</v>
      </c>
      <c r="O67" s="21" t="n">
        <f aca="false">O59+O62-O$20-O63-O64-O65</f>
        <v>7605.79085333333</v>
      </c>
      <c r="P67" s="21" t="n">
        <f aca="false">P59+P62-P$20-P63-P64-P65</f>
        <v>7605.79085333333</v>
      </c>
      <c r="Q67" s="21" t="n">
        <f aca="false">Q59+Q62-Q$20-Q63-Q64-Q65</f>
        <v>7605.79085333333</v>
      </c>
      <c r="R67" s="21" t="n">
        <f aca="false">R59+R62-R$20-R63-R64-R65</f>
        <v>7605.79085333333</v>
      </c>
      <c r="S67" s="21" t="n">
        <f aca="false">S59+S62-S$20-S63-S64-S65</f>
        <v>7605.79085333333</v>
      </c>
      <c r="T67" s="21" t="n">
        <f aca="false">T59+T62-T$20-T63-T64-T65</f>
        <v>7605.79085333333</v>
      </c>
      <c r="U67" s="21" t="n">
        <f aca="false">U59+U62-U$20-U63-U64-U65</f>
        <v>7605.79085333333</v>
      </c>
      <c r="V67" s="21" t="n">
        <f aca="false">V59+V62-V$20-V63-V64-V65</f>
        <v>7605.79085333333</v>
      </c>
      <c r="W67" s="21" t="n">
        <f aca="false">W59+W62-W$20-W63-W64-W65</f>
        <v>7605.79085333333</v>
      </c>
      <c r="X67" s="21" t="n">
        <f aca="false">X59+X62-X$20-X63-X64-X65</f>
        <v>7605.79085333333</v>
      </c>
      <c r="Y67" s="21" t="n">
        <f aca="false">Y59+Y62-Y$20-Y63-Y64-Y65</f>
        <v>7605.79085333333</v>
      </c>
      <c r="Z67" s="21" t="n">
        <f aca="false">Z59+Z62-Z$20-Z63-Z64-Z65</f>
        <v>7605.79085333333</v>
      </c>
      <c r="AA67" s="21" t="n">
        <f aca="false">AA59+AA62-AA$20-AA63-AA64-AA65</f>
        <v>7605.79085333333</v>
      </c>
      <c r="AB67" s="21" t="n">
        <f aca="false">AB59+AB62-AB$20-AB63-AB64-AB65</f>
        <v>7932.62958737933</v>
      </c>
      <c r="AC67" s="21" t="n">
        <f aca="false">AC59+AC62-AC$20-AC63-AC64-AC65</f>
        <v>8109.02158459395</v>
      </c>
      <c r="AD67" s="21" t="n">
        <f aca="false">AD59+AD62-AD$20-AD63-AD64-AD65</f>
        <v>8285.41358180856</v>
      </c>
      <c r="AE67" s="21" t="n">
        <f aca="false">AE59+AE62-AE$20-AE63-AE64-AE65</f>
        <v>7735.19179094098</v>
      </c>
      <c r="AF67" s="21" t="n">
        <f aca="false">AF59+AF62-AF$20-AF63-AF64-AF65</f>
        <v>7912.53926760764</v>
      </c>
      <c r="AG67" s="21" t="n">
        <f aca="false">AG59+AG62-AG$20-AG63-AG64-AG65</f>
        <v>8089.88674427431</v>
      </c>
      <c r="AH67" s="21" t="n">
        <f aca="false">AH59+AH62-AH$20-AH63-AH64-AH65</f>
        <v>8267.23422094098</v>
      </c>
    </row>
    <row r="68" customFormat="false" ht="15" hidden="false" customHeight="false" outlineLevel="0" collapsed="false">
      <c r="B68" s="5" t="s">
        <v>274</v>
      </c>
      <c r="C68" s="11"/>
      <c r="D68" s="11" t="n">
        <f aca="false">MIN(E68:AH68)</f>
        <v>0</v>
      </c>
      <c r="E68" s="11" t="n">
        <f aca="false">E67-E$21</f>
        <v>6616.36306333333</v>
      </c>
      <c r="F68" s="11" t="n">
        <f aca="false">F67-F$21</f>
        <v>6793.71054</v>
      </c>
      <c r="G68" s="11" t="n">
        <f aca="false">G67-G$21</f>
        <v>6244.41340666667</v>
      </c>
      <c r="H68" s="11" t="n">
        <f aca="false">H67-H$21</f>
        <v>5021.46266034494</v>
      </c>
      <c r="I68" s="11" t="n">
        <f aca="false">I67-I$21</f>
        <v>4644.37258664593</v>
      </c>
      <c r="J68" s="11" t="n">
        <f aca="false">J67-J$21</f>
        <v>4267.2518403242</v>
      </c>
      <c r="K68" s="11" t="n">
        <f aca="false">K67-K$21</f>
        <v>3890.13109400247</v>
      </c>
      <c r="L68" s="11" t="n">
        <f aca="false">L67-L$21</f>
        <v>3513.10266413907</v>
      </c>
      <c r="M68" s="11" t="n">
        <f aca="false">M67-M$21</f>
        <v>1877.36191781735</v>
      </c>
      <c r="N68" s="11" t="n">
        <f aca="false">N67-N$21</f>
        <v>434.526563413428</v>
      </c>
      <c r="O68" s="11" t="n">
        <f aca="false">O67-O$21</f>
        <v>0</v>
      </c>
      <c r="P68" s="11" t="n">
        <f aca="false">P67-P$21</f>
        <v>0</v>
      </c>
      <c r="Q68" s="11" t="n">
        <f aca="false">Q67-Q$21</f>
        <v>0</v>
      </c>
      <c r="R68" s="11" t="n">
        <f aca="false">R67-R$21</f>
        <v>0</v>
      </c>
      <c r="S68" s="11" t="n">
        <f aca="false">S67-S$21</f>
        <v>0</v>
      </c>
      <c r="T68" s="11" t="n">
        <f aca="false">T67-T$21</f>
        <v>0</v>
      </c>
      <c r="U68" s="11" t="n">
        <f aca="false">U67-U$21</f>
        <v>0</v>
      </c>
      <c r="V68" s="11" t="n">
        <f aca="false">V67-V$21</f>
        <v>0</v>
      </c>
      <c r="W68" s="11" t="n">
        <f aca="false">W67-W$21</f>
        <v>0</v>
      </c>
      <c r="X68" s="11" t="n">
        <f aca="false">X67-X$21</f>
        <v>0</v>
      </c>
      <c r="Y68" s="11" t="n">
        <f aca="false">Y67-Y$21</f>
        <v>0</v>
      </c>
      <c r="Z68" s="11" t="n">
        <f aca="false">Z67-Z$21</f>
        <v>0</v>
      </c>
      <c r="AA68" s="11" t="n">
        <f aca="false">AA67-AA$21</f>
        <v>0</v>
      </c>
      <c r="AB68" s="11" t="n">
        <f aca="false">AB67-AB$21</f>
        <v>326.838734045999</v>
      </c>
      <c r="AC68" s="11" t="n">
        <f aca="false">AC67-AC$21</f>
        <v>503.230731260612</v>
      </c>
      <c r="AD68" s="11" t="n">
        <f aca="false">AD67-AD$21</f>
        <v>679.622728475223</v>
      </c>
      <c r="AE68" s="11" t="n">
        <f aca="false">AE67-AE$21</f>
        <v>129.400937607643</v>
      </c>
      <c r="AF68" s="11" t="n">
        <f aca="false">AF67-AF$21</f>
        <v>306.74841427431</v>
      </c>
      <c r="AG68" s="11" t="n">
        <f aca="false">AG67-AG$21</f>
        <v>484.095890940976</v>
      </c>
      <c r="AH68" s="11" t="n">
        <f aca="false">AH67-AH$21</f>
        <v>661.443367607643</v>
      </c>
    </row>
    <row r="69" customFormat="false" ht="15" hidden="false" customHeight="false" outlineLevel="0" collapsed="false">
      <c r="B69" s="5" t="s">
        <v>275</v>
      </c>
      <c r="C69" s="11" t="n">
        <f aca="false">SUM(E69:AH69)</f>
        <v>153.234724059016</v>
      </c>
      <c r="D69" s="11"/>
      <c r="E69" s="11" t="n">
        <f aca="false">E$20+E63+E64</f>
        <v>0</v>
      </c>
      <c r="F69" s="11" t="n">
        <f aca="false">F$20+F63+F64</f>
        <v>0</v>
      </c>
      <c r="G69" s="11" t="n">
        <f aca="false">G$20+G63+G64</f>
        <v>0</v>
      </c>
      <c r="H69" s="11" t="n">
        <f aca="false">H$20+H63+H64</f>
        <v>7.7054794520548</v>
      </c>
      <c r="I69" s="11" t="n">
        <f aca="false">I$20+I63+I64</f>
        <v>0.924657534246575</v>
      </c>
      <c r="J69" s="11" t="n">
        <f aca="false">J$20+J63+J64</f>
        <v>0.955479452054795</v>
      </c>
      <c r="K69" s="11" t="n">
        <f aca="false">K$20+K63+K64</f>
        <v>0.955479452054795</v>
      </c>
      <c r="L69" s="11" t="n">
        <f aca="false">L$20+L63+L64</f>
        <v>0.863013698630137</v>
      </c>
      <c r="M69" s="11" t="n">
        <f aca="false">M$20+M63+M64</f>
        <v>0.955479452054795</v>
      </c>
      <c r="N69" s="11" t="n">
        <f aca="false">N$20+N63+N64</f>
        <v>0.924657534246575</v>
      </c>
      <c r="O69" s="11" t="n">
        <f aca="false">O$20+O63+O64</f>
        <v>4.12833402797609</v>
      </c>
      <c r="P69" s="11" t="n">
        <f aca="false">P$20+P63+P64</f>
        <v>12.0659248727349</v>
      </c>
      <c r="Q69" s="11" t="n">
        <f aca="false">Q$20+Q63+Q64</f>
        <v>12.4681223684927</v>
      </c>
      <c r="R69" s="11" t="n">
        <f aca="false">R$20+R63+R64</f>
        <v>12.1023931347029</v>
      </c>
      <c r="S69" s="11" t="n">
        <f aca="false">S$20+S63+S64</f>
        <v>13.3649610835302</v>
      </c>
      <c r="T69" s="11" t="n">
        <f aca="false">T$20+T63+T64</f>
        <v>13.8104597863145</v>
      </c>
      <c r="U69" s="11" t="n">
        <f aca="false">U$20+U63+U64</f>
        <v>13.0153875665214</v>
      </c>
      <c r="V69" s="11" t="n">
        <f aca="false">V$20+V63+V64</f>
        <v>13.0853405472366</v>
      </c>
      <c r="W69" s="11" t="n">
        <f aca="false">W$20+W63+W64</f>
        <v>12.7216819536108</v>
      </c>
      <c r="X69" s="11" t="n">
        <f aca="false">X$20+X63+X64</f>
        <v>9.04156797903048</v>
      </c>
      <c r="Y69" s="11" t="n">
        <f aca="false">Y$20+Y63+Y64</f>
        <v>6.59622080294714</v>
      </c>
      <c r="Z69" s="11" t="n">
        <f aca="false">Z$20+Z63+Z64</f>
        <v>5.83323904416813</v>
      </c>
      <c r="AA69" s="11" t="n">
        <f aca="false">AA$20+AA63+AA64</f>
        <v>6.0276803456404</v>
      </c>
      <c r="AB69" s="11" t="n">
        <f aca="false">AB$20+AB63+AB64</f>
        <v>2.85354753241169</v>
      </c>
      <c r="AC69" s="11" t="n">
        <f aca="false">AC$20+AC63+AC64</f>
        <v>0.955479452054795</v>
      </c>
      <c r="AD69" s="11" t="n">
        <f aca="false">AD$20+AD63+AD64</f>
        <v>0.955479452054795</v>
      </c>
      <c r="AE69" s="11" t="n">
        <f aca="false">AE$20+AE63+AE64</f>
        <v>0.924657534246575</v>
      </c>
      <c r="AF69" s="11" t="n">
        <f aca="false">AF$20+AF63+AF64</f>
        <v>0</v>
      </c>
      <c r="AG69" s="11" t="n">
        <f aca="false">AG$20+AG63+AG64</f>
        <v>0</v>
      </c>
      <c r="AH69" s="11" t="n">
        <f aca="false">AH$20+AH63+AH64</f>
        <v>0</v>
      </c>
    </row>
    <row r="71" customFormat="false" ht="17.15" hidden="false" customHeight="false" outlineLevel="0" collapsed="false">
      <c r="B71" s="3" t="s">
        <v>277</v>
      </c>
    </row>
    <row r="72" customFormat="false" ht="15" hidden="false" customHeight="false" outlineLevel="0" collapsed="false">
      <c r="B72" s="5" t="s">
        <v>256</v>
      </c>
      <c r="C72" s="10"/>
      <c r="D72" s="10"/>
      <c r="E72" s="41" t="n">
        <v>1</v>
      </c>
      <c r="F72" s="41" t="n">
        <v>1</v>
      </c>
      <c r="G72" s="41" t="n">
        <v>1</v>
      </c>
      <c r="H72" s="41" t="n">
        <v>0.6</v>
      </c>
      <c r="I72" s="41" t="n">
        <v>0.6</v>
      </c>
      <c r="J72" s="41" t="n">
        <v>0.6</v>
      </c>
      <c r="K72" s="41" t="n">
        <v>0.6</v>
      </c>
      <c r="L72" s="41" t="n">
        <v>0.6</v>
      </c>
      <c r="M72" s="41" t="n">
        <v>0.6</v>
      </c>
      <c r="N72" s="41" t="n">
        <v>0.6</v>
      </c>
      <c r="O72" s="41" t="n">
        <v>0.6</v>
      </c>
      <c r="P72" s="41" t="n">
        <v>0.6</v>
      </c>
      <c r="Q72" s="41" t="n">
        <v>0.6</v>
      </c>
      <c r="R72" s="41" t="n">
        <v>0.6</v>
      </c>
      <c r="S72" s="41" t="n">
        <v>0.6</v>
      </c>
      <c r="T72" s="41" t="n">
        <v>0.6</v>
      </c>
      <c r="U72" s="41" t="n">
        <v>0.6</v>
      </c>
      <c r="V72" s="41" t="n">
        <v>0.6</v>
      </c>
      <c r="W72" s="41" t="n">
        <v>0.6</v>
      </c>
      <c r="X72" s="41" t="n">
        <v>0.6</v>
      </c>
      <c r="Y72" s="41" t="n">
        <v>0.6</v>
      </c>
      <c r="Z72" s="41" t="n">
        <v>0.6</v>
      </c>
      <c r="AA72" s="41" t="n">
        <v>0.6</v>
      </c>
      <c r="AB72" s="41" t="n">
        <v>0.6</v>
      </c>
      <c r="AC72" s="41" t="n">
        <v>0.6</v>
      </c>
      <c r="AD72" s="41" t="n">
        <v>0.6</v>
      </c>
      <c r="AE72" s="41" t="n">
        <v>0.6</v>
      </c>
      <c r="AF72" s="41" t="n">
        <v>0.6</v>
      </c>
      <c r="AG72" s="41" t="n">
        <v>0.6</v>
      </c>
      <c r="AH72" s="41" t="n">
        <v>0.6</v>
      </c>
    </row>
    <row r="73" customFormat="false" ht="15" hidden="false" customHeight="false" outlineLevel="0" collapsed="false">
      <c r="B73" s="5" t="s">
        <v>257</v>
      </c>
      <c r="C73" s="45"/>
      <c r="D73" s="45"/>
      <c r="E73" s="46" t="n">
        <v>0</v>
      </c>
      <c r="F73" s="46" t="n">
        <v>0</v>
      </c>
      <c r="G73" s="46" t="n">
        <v>0</v>
      </c>
      <c r="H73" s="46" t="n">
        <v>6.666667</v>
      </c>
      <c r="I73" s="46" t="n">
        <v>13.333333</v>
      </c>
      <c r="J73" s="46" t="n">
        <v>20</v>
      </c>
      <c r="K73" s="46" t="n">
        <v>26.666667</v>
      </c>
      <c r="L73" s="46" t="n">
        <v>33.333333</v>
      </c>
      <c r="M73" s="46" t="n">
        <v>40</v>
      </c>
      <c r="N73" s="46" t="n">
        <v>46.666667</v>
      </c>
      <c r="O73" s="46" t="n">
        <v>53.333333</v>
      </c>
      <c r="P73" s="46" t="n">
        <v>60</v>
      </c>
      <c r="Q73" s="46" t="n">
        <v>60</v>
      </c>
      <c r="R73" s="46" t="n">
        <v>60</v>
      </c>
      <c r="S73" s="46" t="n">
        <v>60</v>
      </c>
      <c r="T73" s="46" t="n">
        <v>60</v>
      </c>
      <c r="U73" s="46" t="n">
        <v>60</v>
      </c>
      <c r="V73" s="46" t="n">
        <v>60</v>
      </c>
      <c r="W73" s="46" t="n">
        <v>60</v>
      </c>
      <c r="X73" s="46" t="n">
        <v>60</v>
      </c>
      <c r="Y73" s="46" t="n">
        <v>60</v>
      </c>
      <c r="Z73" s="46" t="n">
        <v>60</v>
      </c>
      <c r="AA73" s="46" t="n">
        <v>60</v>
      </c>
      <c r="AB73" s="46" t="n">
        <v>60</v>
      </c>
      <c r="AC73" s="46" t="n">
        <v>60</v>
      </c>
      <c r="AD73" s="46" t="n">
        <v>60</v>
      </c>
      <c r="AE73" s="46" t="n">
        <v>60</v>
      </c>
      <c r="AF73" s="46" t="n">
        <v>60</v>
      </c>
      <c r="AG73" s="46" t="n">
        <v>60</v>
      </c>
      <c r="AH73" s="46" t="n">
        <v>60</v>
      </c>
    </row>
    <row r="74" customFormat="false" ht="15" hidden="false" customHeight="false" outlineLevel="0" collapsed="false">
      <c r="B74" s="5" t="s">
        <v>258</v>
      </c>
      <c r="C74" s="47"/>
      <c r="D74" s="47"/>
      <c r="E74" s="48" t="n">
        <v>1.2</v>
      </c>
      <c r="F74" s="48" t="n">
        <v>1.2</v>
      </c>
      <c r="G74" s="48" t="n">
        <v>1.2</v>
      </c>
      <c r="H74" s="48" t="n">
        <v>1.2</v>
      </c>
      <c r="I74" s="48" t="n">
        <v>1.2</v>
      </c>
      <c r="J74" s="48" t="n">
        <v>1.2</v>
      </c>
      <c r="K74" s="48" t="n">
        <v>1.2</v>
      </c>
      <c r="L74" s="48" t="n">
        <v>1.2</v>
      </c>
      <c r="M74" s="48" t="n">
        <v>1.2</v>
      </c>
      <c r="N74" s="48" t="n">
        <v>1.2</v>
      </c>
      <c r="O74" s="48" t="n">
        <v>1.2</v>
      </c>
      <c r="P74" s="48" t="n">
        <v>1.2</v>
      </c>
      <c r="Q74" s="48" t="n">
        <v>1.2</v>
      </c>
      <c r="R74" s="48" t="n">
        <v>1.2</v>
      </c>
      <c r="S74" s="48" t="n">
        <v>1.2</v>
      </c>
      <c r="T74" s="48" t="n">
        <v>1.2</v>
      </c>
      <c r="U74" s="48" t="n">
        <v>1.2</v>
      </c>
      <c r="V74" s="48" t="n">
        <v>1.2</v>
      </c>
      <c r="W74" s="48" t="n">
        <v>1.2</v>
      </c>
      <c r="X74" s="48" t="n">
        <v>1.2</v>
      </c>
      <c r="Y74" s="48" t="n">
        <v>1.2</v>
      </c>
      <c r="Z74" s="48" t="n">
        <v>1.2</v>
      </c>
      <c r="AA74" s="48" t="n">
        <v>1.2</v>
      </c>
      <c r="AB74" s="48" t="n">
        <v>1.2</v>
      </c>
      <c r="AC74" s="48" t="n">
        <v>1.2</v>
      </c>
      <c r="AD74" s="48" t="n">
        <v>1.2</v>
      </c>
      <c r="AE74" s="48" t="n">
        <v>1.2</v>
      </c>
      <c r="AF74" s="48" t="n">
        <v>1.2</v>
      </c>
      <c r="AG74" s="48" t="n">
        <v>1.2</v>
      </c>
      <c r="AH74" s="48" t="n">
        <v>1.2</v>
      </c>
    </row>
    <row r="75" customFormat="false" ht="15" hidden="false" customHeight="false" outlineLevel="0" collapsed="false">
      <c r="B75" s="5" t="s">
        <v>259</v>
      </c>
      <c r="C75" s="11" t="n">
        <f aca="false">SUM(E75:AH75)</f>
        <v>5362.797472</v>
      </c>
      <c r="D75" s="11"/>
      <c r="E75" s="11" t="n">
        <f aca="false">가정!$C$37*E72</f>
        <v>279.312368333333</v>
      </c>
      <c r="F75" s="11" t="n">
        <f aca="false">가정!$C$37*F72</f>
        <v>279.312368333333</v>
      </c>
      <c r="G75" s="11" t="n">
        <f aca="false">가정!$C$37*G72</f>
        <v>279.312368333333</v>
      </c>
      <c r="H75" s="11" t="n">
        <f aca="false">가정!$C$37*H72</f>
        <v>167.587421</v>
      </c>
      <c r="I75" s="11" t="n">
        <f aca="false">가정!$C$37*I72</f>
        <v>167.587421</v>
      </c>
      <c r="J75" s="11" t="n">
        <f aca="false">가정!$C$37*J72</f>
        <v>167.587421</v>
      </c>
      <c r="K75" s="11" t="n">
        <f aca="false">가정!$C$37*K72</f>
        <v>167.587421</v>
      </c>
      <c r="L75" s="11" t="n">
        <f aca="false">가정!$C$37*L72</f>
        <v>167.587421</v>
      </c>
      <c r="M75" s="11" t="n">
        <f aca="false">가정!$C$37*M72</f>
        <v>167.587421</v>
      </c>
      <c r="N75" s="11" t="n">
        <f aca="false">가정!$C$37*N72</f>
        <v>167.587421</v>
      </c>
      <c r="O75" s="11" t="n">
        <f aca="false">가정!$C$37*O72</f>
        <v>167.587421</v>
      </c>
      <c r="P75" s="11" t="n">
        <f aca="false">가정!$C$37*P72</f>
        <v>167.587421</v>
      </c>
      <c r="Q75" s="11" t="n">
        <f aca="false">가정!$C$37*Q72</f>
        <v>167.587421</v>
      </c>
      <c r="R75" s="11" t="n">
        <f aca="false">가정!$C$37*R72</f>
        <v>167.587421</v>
      </c>
      <c r="S75" s="11" t="n">
        <f aca="false">가정!$C$37*S72</f>
        <v>167.587421</v>
      </c>
      <c r="T75" s="11" t="n">
        <f aca="false">가정!$C$37*T72</f>
        <v>167.587421</v>
      </c>
      <c r="U75" s="11" t="n">
        <f aca="false">가정!$C$37*U72</f>
        <v>167.587421</v>
      </c>
      <c r="V75" s="11" t="n">
        <f aca="false">가정!$C$37*V72</f>
        <v>167.587421</v>
      </c>
      <c r="W75" s="11" t="n">
        <f aca="false">가정!$C$37*W72</f>
        <v>167.587421</v>
      </c>
      <c r="X75" s="11" t="n">
        <f aca="false">가정!$C$37*X72</f>
        <v>167.587421</v>
      </c>
      <c r="Y75" s="11" t="n">
        <f aca="false">가정!$C$37*Y72</f>
        <v>167.587421</v>
      </c>
      <c r="Z75" s="11" t="n">
        <f aca="false">가정!$C$37*Z72</f>
        <v>167.587421</v>
      </c>
      <c r="AA75" s="11" t="n">
        <f aca="false">가정!$C$37*AA72</f>
        <v>167.587421</v>
      </c>
      <c r="AB75" s="11" t="n">
        <f aca="false">가정!$C$37*AB72</f>
        <v>167.587421</v>
      </c>
      <c r="AC75" s="11" t="n">
        <f aca="false">가정!$C$37*AC72</f>
        <v>167.587421</v>
      </c>
      <c r="AD75" s="11" t="n">
        <f aca="false">가정!$C$37*AD72</f>
        <v>167.587421</v>
      </c>
      <c r="AE75" s="11" t="n">
        <f aca="false">가정!$C$37*AE72</f>
        <v>167.587421</v>
      </c>
      <c r="AF75" s="11" t="n">
        <f aca="false">가정!$C$37*AF72</f>
        <v>167.587421</v>
      </c>
      <c r="AG75" s="11" t="n">
        <f aca="false">가정!$C$37*AG72</f>
        <v>167.587421</v>
      </c>
      <c r="AH75" s="11" t="n">
        <f aca="false">가정!$C$37*AH72</f>
        <v>167.587421</v>
      </c>
    </row>
    <row r="76" customFormat="false" ht="15" hidden="false" customHeight="false" outlineLevel="0" collapsed="false">
      <c r="B76" s="5" t="s">
        <v>260</v>
      </c>
      <c r="C76" s="11" t="n">
        <f aca="false">SUM(E76:AH76)</f>
        <v>-8957.70575342466</v>
      </c>
      <c r="D76" s="11"/>
      <c r="E76" s="11" t="n">
        <f aca="false">(0-E73)*가정!$C$49</f>
        <v>0</v>
      </c>
      <c r="F76" s="11" t="n">
        <f aca="false">(E73-F73)*가정!$C$49</f>
        <v>0</v>
      </c>
      <c r="G76" s="11" t="n">
        <f aca="false">(F73-G73)*가정!$C$49</f>
        <v>0</v>
      </c>
      <c r="H76" s="11" t="n">
        <f aca="false">(G73-H73)*가정!$C$49</f>
        <v>-995.300689034438</v>
      </c>
      <c r="I76" s="11" t="n">
        <f aca="false">(H73-I73)*가정!$C$49</f>
        <v>-995.300539739342</v>
      </c>
      <c r="J76" s="11" t="n">
        <f aca="false">(I73-J73)*가정!$C$49</f>
        <v>-995.300689034438</v>
      </c>
      <c r="K76" s="11" t="n">
        <f aca="false">(J73-K73)*가정!$C$49</f>
        <v>-995.300689034438</v>
      </c>
      <c r="L76" s="11" t="n">
        <f aca="false">(K73-L73)*가정!$C$49</f>
        <v>-995.300539739343</v>
      </c>
      <c r="M76" s="11" t="n">
        <f aca="false">(L73-M73)*가정!$C$49</f>
        <v>-995.300689034438</v>
      </c>
      <c r="N76" s="11" t="n">
        <f aca="false">(M73-N73)*가정!$C$49</f>
        <v>-995.300689034438</v>
      </c>
      <c r="O76" s="11" t="n">
        <f aca="false">(N73-O73)*가정!$C$49</f>
        <v>-995.300539739343</v>
      </c>
      <c r="P76" s="11" t="n">
        <f aca="false">(O73-P73)*가정!$C$49</f>
        <v>-995.300689034438</v>
      </c>
      <c r="Q76" s="11" t="n">
        <f aca="false">(P73-Q73)*가정!$C$49</f>
        <v>0</v>
      </c>
      <c r="R76" s="11" t="n">
        <f aca="false">(Q73-R73)*가정!$C$49</f>
        <v>0</v>
      </c>
      <c r="S76" s="11" t="n">
        <f aca="false">(R73-S73)*가정!$C$49</f>
        <v>0</v>
      </c>
      <c r="T76" s="11" t="n">
        <f aca="false">(S73-T73)*가정!$C$49</f>
        <v>0</v>
      </c>
      <c r="U76" s="11" t="n">
        <f aca="false">(T73-U73)*가정!$C$49</f>
        <v>0</v>
      </c>
      <c r="V76" s="11" t="n">
        <f aca="false">(U73-V73)*가정!$C$49</f>
        <v>0</v>
      </c>
      <c r="W76" s="11" t="n">
        <f aca="false">(V73-W73)*가정!$C$49</f>
        <v>0</v>
      </c>
      <c r="X76" s="11" t="n">
        <f aca="false">(W73-X73)*가정!$C$49</f>
        <v>0</v>
      </c>
      <c r="Y76" s="11" t="n">
        <f aca="false">(X73-Y73)*가정!$C$49</f>
        <v>0</v>
      </c>
      <c r="Z76" s="11" t="n">
        <f aca="false">(Y73-Z73)*가정!$C$49</f>
        <v>0</v>
      </c>
      <c r="AA76" s="11" t="n">
        <f aca="false">(Z73-AA73)*가정!$C$49</f>
        <v>0</v>
      </c>
      <c r="AB76" s="11" t="n">
        <f aca="false">(AA73-AB73)*가정!$C$49</f>
        <v>0</v>
      </c>
      <c r="AC76" s="11" t="n">
        <f aca="false">(AB73-AC73)*가정!$C$49</f>
        <v>0</v>
      </c>
      <c r="AD76" s="11" t="n">
        <f aca="false">(AC73-AD73)*가정!$C$49</f>
        <v>0</v>
      </c>
      <c r="AE76" s="11" t="n">
        <f aca="false">(AD73-AE73)*가정!$C$49</f>
        <v>0</v>
      </c>
      <c r="AF76" s="11" t="n">
        <f aca="false">(AE73-AF73)*가정!$C$49</f>
        <v>0</v>
      </c>
      <c r="AG76" s="11" t="n">
        <f aca="false">(AF73-AG73)*가정!$C$49</f>
        <v>0</v>
      </c>
      <c r="AH76" s="11" t="n">
        <f aca="false">(AG73-AH73)*가정!$C$49</f>
        <v>0</v>
      </c>
    </row>
    <row r="77" customFormat="false" ht="15" hidden="false" customHeight="false" outlineLevel="0" collapsed="false">
      <c r="B77" s="5" t="s">
        <v>261</v>
      </c>
      <c r="C77" s="11" t="n">
        <f aca="false">SUM(E77:AH77)</f>
        <v>-4576.8</v>
      </c>
      <c r="D77" s="11"/>
      <c r="E77" s="11" t="n">
        <f aca="false">E$11*E74</f>
        <v>-0</v>
      </c>
      <c r="F77" s="11" t="n">
        <f aca="false">F$11*F74</f>
        <v>-0</v>
      </c>
      <c r="G77" s="11" t="n">
        <f aca="false">G$11*G74</f>
        <v>-0</v>
      </c>
      <c r="H77" s="11" t="n">
        <f aca="false">H$11*H74</f>
        <v>-915.36</v>
      </c>
      <c r="I77" s="11" t="n">
        <f aca="false">I$11*I74</f>
        <v>-0</v>
      </c>
      <c r="J77" s="11" t="n">
        <f aca="false">J$11*J74</f>
        <v>-0</v>
      </c>
      <c r="K77" s="11" t="n">
        <f aca="false">K$11*K74</f>
        <v>-0</v>
      </c>
      <c r="L77" s="11" t="n">
        <f aca="false">L$11*L74</f>
        <v>-0</v>
      </c>
      <c r="M77" s="11" t="n">
        <f aca="false">M$11*M74</f>
        <v>-1373.04</v>
      </c>
      <c r="N77" s="11" t="n">
        <f aca="false">N$11*N74</f>
        <v>-0</v>
      </c>
      <c r="O77" s="11" t="n">
        <f aca="false">O$11*O74</f>
        <v>-0</v>
      </c>
      <c r="P77" s="11" t="n">
        <f aca="false">P$11*P74</f>
        <v>-2288.4</v>
      </c>
      <c r="Q77" s="11" t="n">
        <f aca="false">Q$11*Q74</f>
        <v>-0</v>
      </c>
      <c r="R77" s="11" t="n">
        <f aca="false">R$11*R74</f>
        <v>-0</v>
      </c>
      <c r="S77" s="11" t="n">
        <f aca="false">S$11*S74</f>
        <v>-0</v>
      </c>
      <c r="T77" s="11" t="n">
        <f aca="false">T$11*T74</f>
        <v>-0</v>
      </c>
      <c r="U77" s="11" t="n">
        <f aca="false">U$11*U74</f>
        <v>-0</v>
      </c>
      <c r="V77" s="11" t="n">
        <f aca="false">V$11*V74</f>
        <v>-0</v>
      </c>
      <c r="W77" s="11" t="n">
        <f aca="false">W$11*W74</f>
        <v>-0</v>
      </c>
      <c r="X77" s="11" t="n">
        <f aca="false">X$11*X74</f>
        <v>-0</v>
      </c>
      <c r="Y77" s="11" t="n">
        <f aca="false">Y$11*Y74</f>
        <v>-0</v>
      </c>
      <c r="Z77" s="11" t="n">
        <f aca="false">Z$11*Z74</f>
        <v>-0</v>
      </c>
      <c r="AA77" s="11" t="n">
        <f aca="false">AA$11*AA74</f>
        <v>-0</v>
      </c>
      <c r="AB77" s="11" t="n">
        <f aca="false">AB$11*AB74</f>
        <v>-0</v>
      </c>
      <c r="AC77" s="11" t="n">
        <f aca="false">AC$11*AC74</f>
        <v>-0</v>
      </c>
      <c r="AD77" s="11" t="n">
        <f aca="false">AD$11*AD74</f>
        <v>-0</v>
      </c>
      <c r="AE77" s="11" t="n">
        <f aca="false">AE$11*AE74</f>
        <v>-0</v>
      </c>
      <c r="AF77" s="11" t="n">
        <f aca="false">AF$11*AF74</f>
        <v>-0</v>
      </c>
      <c r="AG77" s="11" t="n">
        <f aca="false">AG$11*AG74</f>
        <v>-0</v>
      </c>
      <c r="AH77" s="11" t="n">
        <f aca="false">AH$11*AH74</f>
        <v>-0</v>
      </c>
    </row>
    <row r="78" customFormat="false" ht="15" hidden="false" customHeight="false" outlineLevel="0" collapsed="false">
      <c r="B78" s="5" t="s">
        <v>262</v>
      </c>
      <c r="C78" s="11" t="n">
        <f aca="false">SUM(E78:AH78)</f>
        <v>-8970.37144</v>
      </c>
      <c r="D78" s="11"/>
      <c r="E78" s="11" t="n">
        <f aca="false">E$18</f>
        <v>-101.964891666667</v>
      </c>
      <c r="F78" s="11" t="n">
        <f aca="false">F$18</f>
        <v>-101.964891666667</v>
      </c>
      <c r="G78" s="11" t="n">
        <f aca="false">G$18</f>
        <v>-828.609501666667</v>
      </c>
      <c r="H78" s="11" t="n">
        <f aca="false">H$18</f>
        <v>-101.964891666667</v>
      </c>
      <c r="I78" s="11" t="n">
        <f aca="false">I$18</f>
        <v>-101.964891666667</v>
      </c>
      <c r="J78" s="11" t="n">
        <f aca="false">J$18</f>
        <v>-101.964891666667</v>
      </c>
      <c r="K78" s="11" t="n">
        <f aca="false">K$18</f>
        <v>-101.964891666667</v>
      </c>
      <c r="L78" s="11" t="n">
        <f aca="false">L$18</f>
        <v>-101.964891666667</v>
      </c>
      <c r="M78" s="11" t="n">
        <f aca="false">M$18</f>
        <v>-101.964891666667</v>
      </c>
      <c r="N78" s="11" t="n">
        <f aca="false">N$18</f>
        <v>-1167.71032166667</v>
      </c>
      <c r="O78" s="11" t="n">
        <f aca="false">O$18</f>
        <v>-1101.96489166667</v>
      </c>
      <c r="P78" s="11" t="n">
        <f aca="false">P$18</f>
        <v>-101.964891666667</v>
      </c>
      <c r="Q78" s="11" t="n">
        <f aca="false">Q$18</f>
        <v>-101.964891666667</v>
      </c>
      <c r="R78" s="11" t="n">
        <f aca="false">R$18</f>
        <v>-101.964891666667</v>
      </c>
      <c r="S78" s="11" t="n">
        <f aca="false">S$18</f>
        <v>-828.609501666667</v>
      </c>
      <c r="T78" s="11" t="n">
        <f aca="false">T$18</f>
        <v>-101.964891666667</v>
      </c>
      <c r="U78" s="11" t="n">
        <f aca="false">U$18</f>
        <v>-101.964891666667</v>
      </c>
      <c r="V78" s="11" t="n">
        <f aca="false">V$18</f>
        <v>-101.964891666667</v>
      </c>
      <c r="W78" s="11" t="n">
        <f aca="false">W$18</f>
        <v>-101.964891666667</v>
      </c>
      <c r="X78" s="11" t="n">
        <f aca="false">X$18</f>
        <v>-101.964891666667</v>
      </c>
      <c r="Y78" s="11" t="n">
        <f aca="false">Y$18</f>
        <v>-701.964891666667</v>
      </c>
      <c r="Z78" s="11" t="n">
        <f aca="false">Z$18</f>
        <v>-1167.71032166667</v>
      </c>
      <c r="AA78" s="11" t="n">
        <f aca="false">AA$18</f>
        <v>-101.964891666667</v>
      </c>
      <c r="AB78" s="11" t="n">
        <f aca="false">AB$18</f>
        <v>-101.964891666667</v>
      </c>
      <c r="AC78" s="11" t="n">
        <f aca="false">AC$18</f>
        <v>-101.964891666667</v>
      </c>
      <c r="AD78" s="11" t="n">
        <f aca="false">AD$18</f>
        <v>-101.964891666667</v>
      </c>
      <c r="AE78" s="11" t="n">
        <f aca="false">AE$18</f>
        <v>-828.609501666667</v>
      </c>
      <c r="AF78" s="11" t="n">
        <f aca="false">AF$18</f>
        <v>-101.964891666667</v>
      </c>
      <c r="AG78" s="11" t="n">
        <f aca="false">AG$18</f>
        <v>-101.964891666667</v>
      </c>
      <c r="AH78" s="11" t="n">
        <f aca="false">AH$18</f>
        <v>-101.964891666667</v>
      </c>
    </row>
    <row r="79" customFormat="false" ht="15" hidden="false" customHeight="false" outlineLevel="0" collapsed="false">
      <c r="B79" s="42" t="s">
        <v>263</v>
      </c>
      <c r="C79" s="43" t="n">
        <f aca="false">SUM(E79:AH79)</f>
        <v>-17142.0797214247</v>
      </c>
      <c r="D79" s="43"/>
      <c r="E79" s="43" t="n">
        <f aca="false">SUM(E75:E78)</f>
        <v>177.347476666667</v>
      </c>
      <c r="F79" s="43" t="n">
        <f aca="false">SUM(F75:F78)</f>
        <v>177.347476666667</v>
      </c>
      <c r="G79" s="43" t="n">
        <f aca="false">SUM(G75:G78)</f>
        <v>-549.297133333333</v>
      </c>
      <c r="H79" s="43" t="n">
        <f aca="false">SUM(H75:H78)</f>
        <v>-1845.03815970111</v>
      </c>
      <c r="I79" s="43" t="n">
        <f aca="false">SUM(I75:I78)</f>
        <v>-929.678010406009</v>
      </c>
      <c r="J79" s="43" t="n">
        <f aca="false">SUM(J75:J78)</f>
        <v>-929.678159701105</v>
      </c>
      <c r="K79" s="43" t="n">
        <f aca="false">SUM(K75:K78)</f>
        <v>-929.678159701105</v>
      </c>
      <c r="L79" s="43" t="n">
        <f aca="false">SUM(L75:L78)</f>
        <v>-929.67801040601</v>
      </c>
      <c r="M79" s="43" t="n">
        <f aca="false">SUM(M75:M78)</f>
        <v>-2302.7181597011</v>
      </c>
      <c r="N79" s="43" t="n">
        <f aca="false">SUM(N75:N78)</f>
        <v>-1995.4235897011</v>
      </c>
      <c r="O79" s="43" t="n">
        <f aca="false">SUM(O75:O78)</f>
        <v>-1929.67801040601</v>
      </c>
      <c r="P79" s="43" t="n">
        <f aca="false">SUM(P75:P78)</f>
        <v>-3218.0781597011</v>
      </c>
      <c r="Q79" s="43" t="n">
        <f aca="false">SUM(Q75:Q78)</f>
        <v>65.6225293333333</v>
      </c>
      <c r="R79" s="43" t="n">
        <f aca="false">SUM(R75:R78)</f>
        <v>65.6225293333333</v>
      </c>
      <c r="S79" s="43" t="n">
        <f aca="false">SUM(S75:S78)</f>
        <v>-661.022080666667</v>
      </c>
      <c r="T79" s="43" t="n">
        <f aca="false">SUM(T75:T78)</f>
        <v>65.6225293333333</v>
      </c>
      <c r="U79" s="43" t="n">
        <f aca="false">SUM(U75:U78)</f>
        <v>65.6225293333333</v>
      </c>
      <c r="V79" s="43" t="n">
        <f aca="false">SUM(V75:V78)</f>
        <v>65.6225293333333</v>
      </c>
      <c r="W79" s="43" t="n">
        <f aca="false">SUM(W75:W78)</f>
        <v>65.6225293333333</v>
      </c>
      <c r="X79" s="43" t="n">
        <f aca="false">SUM(X75:X78)</f>
        <v>65.6225293333333</v>
      </c>
      <c r="Y79" s="43" t="n">
        <f aca="false">SUM(Y75:Y78)</f>
        <v>-534.377470666667</v>
      </c>
      <c r="Z79" s="43" t="n">
        <f aca="false">SUM(Z75:Z78)</f>
        <v>-1000.12290066667</v>
      </c>
      <c r="AA79" s="43" t="n">
        <f aca="false">SUM(AA75:AA78)</f>
        <v>65.6225293333333</v>
      </c>
      <c r="AB79" s="43" t="n">
        <f aca="false">SUM(AB75:AB78)</f>
        <v>65.6225293333333</v>
      </c>
      <c r="AC79" s="43" t="n">
        <f aca="false">SUM(AC75:AC78)</f>
        <v>65.6225293333333</v>
      </c>
      <c r="AD79" s="43" t="n">
        <f aca="false">SUM(AD75:AD78)</f>
        <v>65.6225293333333</v>
      </c>
      <c r="AE79" s="43" t="n">
        <f aca="false">SUM(AE75:AE78)</f>
        <v>-661.022080666667</v>
      </c>
      <c r="AF79" s="43" t="n">
        <f aca="false">SUM(AF75:AF78)</f>
        <v>65.6225293333333</v>
      </c>
      <c r="AG79" s="43" t="n">
        <f aca="false">SUM(AG75:AG78)</f>
        <v>65.6225293333333</v>
      </c>
      <c r="AH79" s="43" t="n">
        <f aca="false">SUM(AH75:AH78)</f>
        <v>65.6225293333333</v>
      </c>
    </row>
    <row r="80" customFormat="false" ht="15" hidden="false" customHeight="false" outlineLevel="0" collapsed="false">
      <c r="B80" s="19" t="s">
        <v>264</v>
      </c>
      <c r="C80" s="21"/>
      <c r="D80" s="21" t="n">
        <f aca="false">MIN(E80:AH80)</f>
        <v>-3294.14086942466</v>
      </c>
      <c r="E80" s="21" t="n">
        <f aca="false">가정!$D$11+E79</f>
        <v>14222.1539166667</v>
      </c>
      <c r="F80" s="21" t="n">
        <f aca="false">E80+F79</f>
        <v>14399.5013933333</v>
      </c>
      <c r="G80" s="21" t="n">
        <f aca="false">F80+G79</f>
        <v>13850.20426</v>
      </c>
      <c r="H80" s="21" t="n">
        <f aca="false">G80+H79</f>
        <v>12005.1661002989</v>
      </c>
      <c r="I80" s="21" t="n">
        <f aca="false">H80+I79</f>
        <v>11075.4880898929</v>
      </c>
      <c r="J80" s="21" t="n">
        <f aca="false">I80+J79</f>
        <v>10145.8099301918</v>
      </c>
      <c r="K80" s="21" t="n">
        <f aca="false">J80+K79</f>
        <v>9216.13177049067</v>
      </c>
      <c r="L80" s="21" t="n">
        <f aca="false">K80+L79</f>
        <v>8286.45376008467</v>
      </c>
      <c r="M80" s="21" t="n">
        <f aca="false">L80+M79</f>
        <v>5983.73560038356</v>
      </c>
      <c r="N80" s="21" t="n">
        <f aca="false">M80+N79</f>
        <v>3988.31201068246</v>
      </c>
      <c r="O80" s="21" t="n">
        <f aca="false">N80+O79</f>
        <v>2058.63400027645</v>
      </c>
      <c r="P80" s="21" t="n">
        <f aca="false">O80+P79</f>
        <v>-1159.44415942466</v>
      </c>
      <c r="Q80" s="21" t="n">
        <f aca="false">P80+Q79</f>
        <v>-1093.82163009133</v>
      </c>
      <c r="R80" s="21" t="n">
        <f aca="false">Q80+R79</f>
        <v>-1028.19910075799</v>
      </c>
      <c r="S80" s="21" t="n">
        <f aca="false">R80+S79</f>
        <v>-1689.22118142466</v>
      </c>
      <c r="T80" s="21" t="n">
        <f aca="false">S80+T79</f>
        <v>-1623.59865209133</v>
      </c>
      <c r="U80" s="21" t="n">
        <f aca="false">T80+U79</f>
        <v>-1557.97612275799</v>
      </c>
      <c r="V80" s="21" t="n">
        <f aca="false">U80+V79</f>
        <v>-1492.35359342466</v>
      </c>
      <c r="W80" s="21" t="n">
        <f aca="false">V80+W79</f>
        <v>-1426.73106409133</v>
      </c>
      <c r="X80" s="21" t="n">
        <f aca="false">W80+X79</f>
        <v>-1361.10853475799</v>
      </c>
      <c r="Y80" s="21" t="n">
        <f aca="false">X80+Y79</f>
        <v>-1895.48600542466</v>
      </c>
      <c r="Z80" s="21" t="n">
        <f aca="false">Y80+Z79</f>
        <v>-2895.60890609133</v>
      </c>
      <c r="AA80" s="21" t="n">
        <f aca="false">Z80+AA79</f>
        <v>-2829.98637675799</v>
      </c>
      <c r="AB80" s="21" t="n">
        <f aca="false">AA80+AB79</f>
        <v>-2764.36384742466</v>
      </c>
      <c r="AC80" s="21" t="n">
        <f aca="false">AB80+AC79</f>
        <v>-2698.74131809133</v>
      </c>
      <c r="AD80" s="21" t="n">
        <f aca="false">AC80+AD79</f>
        <v>-2633.11878875799</v>
      </c>
      <c r="AE80" s="21" t="n">
        <f aca="false">AD80+AE79</f>
        <v>-3294.14086942466</v>
      </c>
      <c r="AF80" s="21" t="n">
        <f aca="false">AE80+AF79</f>
        <v>-3228.51834009133</v>
      </c>
      <c r="AG80" s="21" t="n">
        <f aca="false">AF80+AG79</f>
        <v>-3162.89581075799</v>
      </c>
      <c r="AH80" s="21" t="n">
        <f aca="false">AG80+AH79</f>
        <v>-3097.27328142466</v>
      </c>
    </row>
    <row r="81" customFormat="false" ht="15" hidden="false" customHeight="false" outlineLevel="0" collapsed="false">
      <c r="B81" s="5" t="s">
        <v>265</v>
      </c>
      <c r="C81" s="11"/>
      <c r="D81" s="11" t="n">
        <f aca="false">MIN(E81:AH81)</f>
        <v>-10899.931722758</v>
      </c>
      <c r="E81" s="11" t="n">
        <f aca="false">E80-E$21</f>
        <v>6616.36306333333</v>
      </c>
      <c r="F81" s="11" t="n">
        <f aca="false">F80-F$21</f>
        <v>6793.71054</v>
      </c>
      <c r="G81" s="11" t="n">
        <f aca="false">G80-G$21</f>
        <v>6244.41340666667</v>
      </c>
      <c r="H81" s="11" t="n">
        <f aca="false">H80-H$21</f>
        <v>4399.37524696556</v>
      </c>
      <c r="I81" s="11" t="n">
        <f aca="false">I80-I$21</f>
        <v>3469.69723655955</v>
      </c>
      <c r="J81" s="11" t="n">
        <f aca="false">J80-J$21</f>
        <v>2540.01907685845</v>
      </c>
      <c r="K81" s="11" t="n">
        <f aca="false">K80-K$21</f>
        <v>1610.34091715734</v>
      </c>
      <c r="L81" s="11" t="n">
        <f aca="false">L80-L$21</f>
        <v>680.662906751332</v>
      </c>
      <c r="M81" s="11" t="n">
        <f aca="false">M80-M$21</f>
        <v>-1622.05525294977</v>
      </c>
      <c r="N81" s="11" t="n">
        <f aca="false">N80-N$21</f>
        <v>-3617.47884265088</v>
      </c>
      <c r="O81" s="11" t="n">
        <f aca="false">O80-O$21</f>
        <v>-5547.15685305689</v>
      </c>
      <c r="P81" s="11" t="n">
        <f aca="false">P80-P$21</f>
        <v>-8765.23501275799</v>
      </c>
      <c r="Q81" s="11" t="n">
        <f aca="false">Q80-Q$21</f>
        <v>-8699.61248342466</v>
      </c>
      <c r="R81" s="11" t="n">
        <f aca="false">R80-R$21</f>
        <v>-8633.98995409133</v>
      </c>
      <c r="S81" s="11" t="n">
        <f aca="false">S80-S$21</f>
        <v>-9295.01203475799</v>
      </c>
      <c r="T81" s="11" t="n">
        <f aca="false">T80-T$21</f>
        <v>-9229.38950542466</v>
      </c>
      <c r="U81" s="11" t="n">
        <f aca="false">U80-U$21</f>
        <v>-9163.76697609133</v>
      </c>
      <c r="V81" s="11" t="n">
        <f aca="false">V80-V$21</f>
        <v>-9098.14444675799</v>
      </c>
      <c r="W81" s="11" t="n">
        <f aca="false">W80-W$21</f>
        <v>-9032.52191742466</v>
      </c>
      <c r="X81" s="11" t="n">
        <f aca="false">X80-X$21</f>
        <v>-8966.89938809133</v>
      </c>
      <c r="Y81" s="11" t="n">
        <f aca="false">Y80-Y$21</f>
        <v>-9501.27685875799</v>
      </c>
      <c r="Z81" s="11" t="n">
        <f aca="false">Z80-Z$21</f>
        <v>-10501.3997594247</v>
      </c>
      <c r="AA81" s="11" t="n">
        <f aca="false">AA80-AA$21</f>
        <v>-10435.7772300913</v>
      </c>
      <c r="AB81" s="11" t="n">
        <f aca="false">AB80-AB$21</f>
        <v>-10370.154700758</v>
      </c>
      <c r="AC81" s="11" t="n">
        <f aca="false">AC80-AC$21</f>
        <v>-10304.5321714247</v>
      </c>
      <c r="AD81" s="11" t="n">
        <f aca="false">AD80-AD$21</f>
        <v>-10238.9096420913</v>
      </c>
      <c r="AE81" s="11" t="n">
        <f aca="false">AE80-AE$21</f>
        <v>-10899.931722758</v>
      </c>
      <c r="AF81" s="11" t="n">
        <f aca="false">AF80-AF$21</f>
        <v>-10834.3091934247</v>
      </c>
      <c r="AG81" s="11" t="n">
        <f aca="false">AG80-AG$21</f>
        <v>-10768.6866640913</v>
      </c>
      <c r="AH81" s="11" t="n">
        <f aca="false">AH80-AH$21</f>
        <v>-10703.064134758</v>
      </c>
    </row>
    <row r="82" customFormat="false" ht="15" hidden="false" customHeight="false" outlineLevel="0" collapsed="false">
      <c r="B82" s="5" t="s">
        <v>23</v>
      </c>
      <c r="C82" s="11"/>
      <c r="D82" s="11"/>
      <c r="E82" s="11" t="n">
        <f aca="false">가정!$D$11</f>
        <v>14044.80644</v>
      </c>
      <c r="F82" s="11" t="n">
        <f aca="false">E91</f>
        <v>14222.1539166667</v>
      </c>
      <c r="G82" s="11" t="n">
        <f aca="false">F91</f>
        <v>14399.5013933333</v>
      </c>
      <c r="H82" s="11" t="n">
        <f aca="false">G91</f>
        <v>13850.20426</v>
      </c>
      <c r="I82" s="11" t="n">
        <f aca="false">H91</f>
        <v>11997.4606208468</v>
      </c>
      <c r="J82" s="11" t="n">
        <f aca="false">I91</f>
        <v>11066.8579529066</v>
      </c>
      <c r="K82" s="11" t="n">
        <f aca="false">J91</f>
        <v>10136.2243137534</v>
      </c>
      <c r="L82" s="11" t="n">
        <f aca="false">K91</f>
        <v>9205.59067460026</v>
      </c>
      <c r="M82" s="11" t="n">
        <f aca="false">L91</f>
        <v>8275.04965049562</v>
      </c>
      <c r="N82" s="11" t="n">
        <f aca="false">M91</f>
        <v>7605.79085333333</v>
      </c>
      <c r="O82" s="11" t="n">
        <f aca="false">N91</f>
        <v>7605.79085333333</v>
      </c>
      <c r="P82" s="11" t="n">
        <f aca="false">O91</f>
        <v>6511.95225706749</v>
      </c>
      <c r="Q82" s="11" t="n">
        <f aca="false">P91</f>
        <v>3278.33985079105</v>
      </c>
      <c r="R82" s="11" t="n">
        <f aca="false">Q91</f>
        <v>3327.91032532986</v>
      </c>
      <c r="S82" s="11" t="n">
        <f aca="false">R91</f>
        <v>3377.48079986867</v>
      </c>
      <c r="T82" s="11" t="n">
        <f aca="false">S91</f>
        <v>2700.92447262666</v>
      </c>
      <c r="U82" s="11" t="n">
        <f aca="false">T91</f>
        <v>2750.49494716548</v>
      </c>
      <c r="V82" s="11" t="n">
        <f aca="false">U91</f>
        <v>2800.58322992347</v>
      </c>
      <c r="W82" s="11" t="n">
        <f aca="false">V91</f>
        <v>2850.15370446228</v>
      </c>
      <c r="X82" s="11" t="n">
        <f aca="false">W91</f>
        <v>2899.72417900109</v>
      </c>
      <c r="Y82" s="11" t="n">
        <f aca="false">X91</f>
        <v>2950.33026997826</v>
      </c>
      <c r="Z82" s="11" t="n">
        <f aca="false">Y91</f>
        <v>2399.90074451707</v>
      </c>
      <c r="AA82" s="11" t="n">
        <f aca="false">Z91</f>
        <v>1384.24359727506</v>
      </c>
      <c r="AB82" s="11" t="n">
        <f aca="false">AA91</f>
        <v>1433.81407181388</v>
      </c>
      <c r="AC82" s="11" t="n">
        <f aca="false">AB91</f>
        <v>1483.90235457187</v>
      </c>
      <c r="AD82" s="11" t="n">
        <f aca="false">AC91</f>
        <v>1533.47282911068</v>
      </c>
      <c r="AE82" s="11" t="n">
        <f aca="false">AD91</f>
        <v>1583.04330364949</v>
      </c>
      <c r="AF82" s="11" t="n">
        <f aca="false">AE91</f>
        <v>-3593.51302359252</v>
      </c>
      <c r="AG82" s="11" t="n">
        <f aca="false">AF91</f>
        <v>-3527.89049425918</v>
      </c>
      <c r="AH82" s="11" t="n">
        <f aca="false">AG91</f>
        <v>-3462.26796492585</v>
      </c>
    </row>
    <row r="83" customFormat="false" ht="15" hidden="false" customHeight="false" outlineLevel="0" collapsed="false">
      <c r="B83" s="5" t="s">
        <v>266</v>
      </c>
      <c r="C83" s="11"/>
      <c r="D83" s="11"/>
      <c r="E83" s="11" t="n">
        <f aca="false">E82+E79</f>
        <v>14222.1539166667</v>
      </c>
      <c r="F83" s="11" t="n">
        <f aca="false">F82+F79</f>
        <v>14399.5013933333</v>
      </c>
      <c r="G83" s="11" t="n">
        <f aca="false">G82+G79</f>
        <v>13850.20426</v>
      </c>
      <c r="H83" s="11" t="n">
        <f aca="false">H82+H79</f>
        <v>12005.1661002989</v>
      </c>
      <c r="I83" s="11" t="n">
        <f aca="false">I82+I79</f>
        <v>11067.7826104408</v>
      </c>
      <c r="J83" s="11" t="n">
        <f aca="false">J82+J79</f>
        <v>10137.1797932055</v>
      </c>
      <c r="K83" s="11" t="n">
        <f aca="false">K82+K79</f>
        <v>9206.54615405232</v>
      </c>
      <c r="L83" s="11" t="n">
        <f aca="false">L82+L79</f>
        <v>8275.91266419425</v>
      </c>
      <c r="M83" s="11" t="n">
        <f aca="false">M82+M79</f>
        <v>5972.33149079452</v>
      </c>
      <c r="N83" s="11" t="n">
        <f aca="false">N82+N79</f>
        <v>5610.36726363223</v>
      </c>
      <c r="O83" s="11" t="n">
        <f aca="false">O82+O79</f>
        <v>5676.11284292732</v>
      </c>
      <c r="P83" s="11" t="n">
        <f aca="false">P82+P79</f>
        <v>3293.87409736639</v>
      </c>
      <c r="Q83" s="11" t="n">
        <f aca="false">Q82+Q79</f>
        <v>3343.96238012438</v>
      </c>
      <c r="R83" s="11" t="n">
        <f aca="false">R82+R79</f>
        <v>3393.53285466319</v>
      </c>
      <c r="S83" s="11" t="n">
        <f aca="false">S82+S79</f>
        <v>2716.45871920201</v>
      </c>
      <c r="T83" s="11" t="n">
        <f aca="false">T82+T79</f>
        <v>2766.54700196</v>
      </c>
      <c r="U83" s="11" t="n">
        <f aca="false">U82+U79</f>
        <v>2816.11747649881</v>
      </c>
      <c r="V83" s="11" t="n">
        <f aca="false">V82+V79</f>
        <v>2866.2057592568</v>
      </c>
      <c r="W83" s="11" t="n">
        <f aca="false">W82+W79</f>
        <v>2915.77623379561</v>
      </c>
      <c r="X83" s="11" t="n">
        <f aca="false">X82+X79</f>
        <v>2965.34670833442</v>
      </c>
      <c r="Y83" s="11" t="n">
        <f aca="false">Y82+Y79</f>
        <v>2415.95279931159</v>
      </c>
      <c r="Z83" s="11" t="n">
        <f aca="false">Z82+Z79</f>
        <v>1399.77784385041</v>
      </c>
      <c r="AA83" s="11" t="n">
        <f aca="false">AA82+AA79</f>
        <v>1449.8661266084</v>
      </c>
      <c r="AB83" s="11" t="n">
        <f aca="false">AB82+AB79</f>
        <v>1499.43660114721</v>
      </c>
      <c r="AC83" s="11" t="n">
        <f aca="false">AC82+AC79</f>
        <v>1549.5248839052</v>
      </c>
      <c r="AD83" s="11" t="n">
        <f aca="false">AD82+AD79</f>
        <v>1599.09535844401</v>
      </c>
      <c r="AE83" s="11" t="n">
        <f aca="false">AE82+AE79</f>
        <v>922.021222982826</v>
      </c>
      <c r="AF83" s="11" t="n">
        <f aca="false">AF82+AF79</f>
        <v>-3527.89049425918</v>
      </c>
      <c r="AG83" s="11" t="n">
        <f aca="false">AG82+AG79</f>
        <v>-3462.26796492585</v>
      </c>
      <c r="AH83" s="11" t="n">
        <f aca="false">AH82+AH79</f>
        <v>-3396.64543559252</v>
      </c>
    </row>
    <row r="84" customFormat="false" ht="15" hidden="false" customHeight="false" outlineLevel="0" collapsed="false">
      <c r="B84" s="5" t="s">
        <v>267</v>
      </c>
      <c r="C84" s="11"/>
      <c r="D84" s="11"/>
      <c r="E84" s="11" t="n">
        <f aca="false">0</f>
        <v>0</v>
      </c>
      <c r="F84" s="11" t="n">
        <f aca="false">E90</f>
        <v>0</v>
      </c>
      <c r="G84" s="11" t="n">
        <f aca="false">F90</f>
        <v>0</v>
      </c>
      <c r="H84" s="11" t="n">
        <f aca="false">G90</f>
        <v>0</v>
      </c>
      <c r="I84" s="11" t="n">
        <f aca="false">H90</f>
        <v>0</v>
      </c>
      <c r="J84" s="11" t="n">
        <f aca="false">I90</f>
        <v>0</v>
      </c>
      <c r="K84" s="11" t="n">
        <f aca="false">J90</f>
        <v>0</v>
      </c>
      <c r="L84" s="11" t="n">
        <f aca="false">K90</f>
        <v>0</v>
      </c>
      <c r="M84" s="11" t="n">
        <f aca="false">L90</f>
        <v>0</v>
      </c>
      <c r="N84" s="11" t="n">
        <f aca="false">M90</f>
        <v>1639.91642462636</v>
      </c>
      <c r="O84" s="11" t="n">
        <f aca="false">N90</f>
        <v>3648.10853106531</v>
      </c>
      <c r="P84" s="11" t="n">
        <f aca="false">O90</f>
        <v>4500</v>
      </c>
      <c r="Q84" s="11" t="n">
        <f aca="false">P90</f>
        <v>4500</v>
      </c>
      <c r="R84" s="11" t="n">
        <f aca="false">Q90</f>
        <v>4500</v>
      </c>
      <c r="S84" s="11" t="n">
        <f aca="false">R90</f>
        <v>4500</v>
      </c>
      <c r="T84" s="11" t="n">
        <f aca="false">S90</f>
        <v>4500</v>
      </c>
      <c r="U84" s="11" t="n">
        <f aca="false">T90</f>
        <v>4500</v>
      </c>
      <c r="V84" s="11" t="n">
        <f aca="false">U90</f>
        <v>4500</v>
      </c>
      <c r="W84" s="11" t="n">
        <f aca="false">V90</f>
        <v>4500</v>
      </c>
      <c r="X84" s="11" t="n">
        <f aca="false">W90</f>
        <v>4500</v>
      </c>
      <c r="Y84" s="11" t="n">
        <f aca="false">X90</f>
        <v>4500</v>
      </c>
      <c r="Z84" s="11" t="n">
        <f aca="false">Y90</f>
        <v>4500</v>
      </c>
      <c r="AA84" s="11" t="n">
        <f aca="false">Z90</f>
        <v>4500</v>
      </c>
      <c r="AB84" s="11" t="n">
        <f aca="false">AA90</f>
        <v>4500</v>
      </c>
      <c r="AC84" s="11" t="n">
        <f aca="false">AB90</f>
        <v>4500</v>
      </c>
      <c r="AD84" s="11" t="n">
        <f aca="false">AC90</f>
        <v>4500</v>
      </c>
      <c r="AE84" s="11" t="n">
        <f aca="false">AD90</f>
        <v>4500</v>
      </c>
      <c r="AF84" s="11" t="n">
        <f aca="false">AE90</f>
        <v>0</v>
      </c>
      <c r="AG84" s="11" t="n">
        <f aca="false">AF90</f>
        <v>0</v>
      </c>
      <c r="AH84" s="11" t="n">
        <f aca="false">AG90</f>
        <v>0</v>
      </c>
    </row>
    <row r="85" customFormat="false" ht="15" hidden="false" customHeight="false" outlineLevel="0" collapsed="false">
      <c r="B85" s="5" t="s">
        <v>268</v>
      </c>
      <c r="C85" s="11"/>
      <c r="D85" s="11"/>
      <c r="E85" s="11" t="n">
        <f aca="false">IF(E$19&gt;0,MAX(0,(E$21-E83+E84*가정!$D$66*E$7/365+MAX(0,E$19-E84)*가정!$D$67*E$7/365+E$20)/(1-가정!$D$66*E$7/365+가정!$D$67*E$7/365)),0)</f>
        <v>0</v>
      </c>
      <c r="F85" s="11" t="n">
        <f aca="false">IF(F$19&gt;0,MAX(0,(F$21-F83+F84*가정!$D$66*F$7/365+MAX(0,F$19-F84)*가정!$D$67*F$7/365+F$20)/(1-가정!$D$66*F$7/365+가정!$D$67*F$7/365)),0)</f>
        <v>0</v>
      </c>
      <c r="G85" s="11" t="n">
        <f aca="false">IF(G$19&gt;0,MAX(0,(G$21-G83+G84*가정!$D$66*G$7/365+MAX(0,G$19-G84)*가정!$D$67*G$7/365+G$20)/(1-가정!$D$66*G$7/365+가정!$D$67*G$7/365)),0)</f>
        <v>0</v>
      </c>
      <c r="H85" s="11" t="n">
        <f aca="false">IF(H$19&gt;0,MAX(0,(H$21-H83+H84*가정!$D$66*H$7/365+MAX(0,H$19-H84)*가정!$D$67*H$7/365+H$20)/(1-가정!$D$66*H$7/365+가정!$D$67*H$7/365)),0)</f>
        <v>0</v>
      </c>
      <c r="I85" s="11" t="n">
        <f aca="false">IF(I$19&gt;0,MAX(0,(I$21-I83+I84*가정!$D$66*I$7/365+MAX(0,I$19-I84)*가정!$D$67*I$7/365+I$20)/(1-가정!$D$66*I$7/365+가정!$D$67*I$7/365)),0)</f>
        <v>0</v>
      </c>
      <c r="J85" s="11" t="n">
        <f aca="false">IF(J$19&gt;0,MAX(0,(J$21-J83+J84*가정!$D$66*J$7/365+MAX(0,J$19-J84)*가정!$D$67*J$7/365+J$20)/(1-가정!$D$66*J$7/365+가정!$D$67*J$7/365)),0)</f>
        <v>0</v>
      </c>
      <c r="K85" s="11" t="n">
        <f aca="false">IF(K$19&gt;0,MAX(0,(K$21-K83+K84*가정!$D$66*K$7/365+MAX(0,K$19-K84)*가정!$D$67*K$7/365+K$20)/(1-가정!$D$66*K$7/365+가정!$D$67*K$7/365)),0)</f>
        <v>0</v>
      </c>
      <c r="L85" s="11" t="n">
        <f aca="false">IF(L$19&gt;0,MAX(0,(L$21-L83+L84*가정!$D$66*L$7/365+MAX(0,L$19-L84)*가정!$D$67*L$7/365+L$20)/(1-가정!$D$66*L$7/365+가정!$D$67*L$7/365)),0)</f>
        <v>0</v>
      </c>
      <c r="M85" s="11" t="n">
        <f aca="false">IF(M$19&gt;0,MAX(0,(M$21-M83+M84*가정!$D$66*M$7/365+MAX(0,M$19-M84)*가정!$D$67*M$7/365+M$20)/(1-가정!$D$66*M$7/365+가정!$D$67*M$7/365)),0)</f>
        <v>1639.91642462636</v>
      </c>
      <c r="N85" s="11" t="n">
        <f aca="false">IF(N$19&gt;0,MAX(0,(N$21-N83+N84*가정!$D$66*N$7/365+MAX(0,N$19-N84)*가정!$D$67*N$7/365+N$20)/(1-가정!$D$66*N$7/365+가정!$D$67*N$7/365)),0)</f>
        <v>2008.19210643895</v>
      </c>
      <c r="O85" s="11" t="n">
        <f aca="false">IF(O$19&gt;0,MAX(0,(O$21-O83+O84*가정!$D$66*O$7/365+MAX(0,O$19-O84)*가정!$D$67*O$7/365+O$20)/(1-가정!$D$66*O$7/365+가정!$D$67*O$7/365)),0)</f>
        <v>1949.41202113524</v>
      </c>
      <c r="P85" s="11" t="n">
        <f aca="false">IF(P$19&gt;0,MAX(0,(P$21-P83+P84*가정!$D$66*P$7/365+MAX(0,P$19-P84)*가정!$D$67*P$7/365+P$20)/(1-가정!$D$66*P$7/365+가정!$D$67*P$7/365)),0)</f>
        <v>4341.54615925109</v>
      </c>
      <c r="Q85" s="11" t="n">
        <f aca="false">IF(Q$19&gt;0,MAX(0,(Q$21-Q83+Q84*가정!$D$66*Q$7/365+MAX(0,Q$19-Q84)*가정!$D$67*Q$7/365+Q$20)/(1-가정!$D$66*Q$7/365+가정!$D$67*Q$7/365)),0)</f>
        <v>4292.28024625426</v>
      </c>
      <c r="R85" s="11" t="n">
        <f aca="false">IF(R$19&gt;0,MAX(0,(R$21-R83+R84*가정!$D$66*R$7/365+MAX(0,R$19-R84)*가정!$D$67*R$7/365+R$20)/(1-가정!$D$66*R$7/365+가정!$D$67*R$7/365)),0)</f>
        <v>4242.542913183</v>
      </c>
      <c r="S85" s="11" t="n">
        <f aca="false">IF(S$19&gt;0,MAX(0,(S$21-S83+S84*가정!$D$66*S$7/365+MAX(0,S$19-S84)*가정!$D$67*S$7/365+S$20)/(1-가정!$D$66*S$7/365+가정!$D$67*S$7/365)),0)</f>
        <v>4920.84226587121</v>
      </c>
      <c r="T85" s="11" t="n">
        <f aca="false">IF(T$19&gt;0,MAX(0,(T$21-T83+T84*가정!$D$66*T$7/365+MAX(0,T$19-T84)*가정!$D$67*T$7/365+T$20)/(1-가정!$D$66*T$7/365+가정!$D$67*T$7/365)),0)</f>
        <v>4871.6392548461</v>
      </c>
      <c r="U85" s="11" t="n">
        <f aca="false">IF(U$19&gt;0,MAX(0,(U$21-U83+U84*가정!$D$66*U$7/365+MAX(0,U$19-U84)*가정!$D$67*U$7/365+U$20)/(1-가정!$D$66*U$7/365+가정!$D$67*U$7/365)),0)</f>
        <v>4820.85890506054</v>
      </c>
      <c r="V85" s="11" t="n">
        <f aca="false">IF(V$19&gt;0,MAX(0,(V$21-V83+V84*가정!$D$66*V$7/365+MAX(0,V$19-V84)*가정!$D$67*V$7/365+V$20)/(1-가정!$D$66*V$7/365+가정!$D$67*V$7/365)),0)</f>
        <v>4771.64503749685</v>
      </c>
      <c r="W85" s="11" t="n">
        <f aca="false">IF(W$19&gt;0,MAX(0,(W$21-W83+W84*가정!$D$66*W$7/365+MAX(0,W$19-W84)*가정!$D$67*W$7/365+W$20)/(1-가정!$D$66*W$7/365+가정!$D$67*W$7/365)),0)</f>
        <v>4721.90770442558</v>
      </c>
      <c r="X85" s="11" t="n">
        <f aca="false">IF(X$19&gt;0,MAX(0,(X$21-X83+X84*가정!$D$66*X$7/365+MAX(0,X$19-X84)*가정!$D$67*X$7/365+X$20)/(1-가정!$D$66*X$7/365+가정!$D$67*X$7/365)),0)</f>
        <v>4670.11707406285</v>
      </c>
      <c r="Y85" s="11" t="n">
        <f aca="false">IF(Y$19&gt;0,MAX(0,(Y$21-Y83+Y84*가정!$D$66*Y$7/365+MAX(0,Y$19-Y84)*가정!$D$67*Y$7/365+Y$20)/(1-가정!$D$66*Y$7/365+가정!$D$67*Y$7/365)),0)</f>
        <v>5223.41358810018</v>
      </c>
      <c r="Z85" s="11" t="n">
        <f aca="false">IF(Z$19&gt;0,MAX(0,(Z$21-Z83+Z84*가정!$D$66*Z$7/365+MAX(0,Z$19-Z84)*가정!$D$67*Z$7/365+Z$20)/(1-가정!$D$66*Z$7/365+가정!$D$67*Z$7/365)),0)</f>
        <v>6241.81176823734</v>
      </c>
      <c r="AA85" s="11" t="n">
        <f aca="false">IF(AA$19&gt;0,MAX(0,(AA$21-AA83+AA84*가정!$D$66*AA$7/365+MAX(0,AA$19-AA84)*가정!$D$67*AA$7/365+AA$20)/(1-가정!$D$66*AA$7/365+가정!$D$67*AA$7/365)),0)</f>
        <v>6192.75219264245</v>
      </c>
      <c r="AB85" s="11" t="n">
        <f aca="false">IF(AB$19&gt;0,MAX(0,(AB$21-AB83+AB84*가정!$D$66*AB$7/365+MAX(0,AB$19-AB84)*가정!$D$67*AB$7/365+AB$20)/(1-가정!$D$66*AB$7/365+가정!$D$67*AB$7/365)),0)</f>
        <v>6141.82840742667</v>
      </c>
      <c r="AC85" s="11" t="n">
        <f aca="false">IF(AC$19&gt;0,MAX(0,(AC$21-AC83+AC84*가정!$D$66*AC$7/365+MAX(0,AC$19-AC84)*가정!$D$67*AC$7/365+AC$20)/(1-가정!$D$66*AC$7/365+가정!$D$67*AC$7/365)),0)</f>
        <v>6092.75797529319</v>
      </c>
      <c r="AD85" s="11" t="n">
        <f aca="false">IF(AD$19&gt;0,MAX(0,(AD$21-AD83+AD84*가정!$D$66*AD$7/365+MAX(0,AD$19-AD84)*가정!$D$67*AD$7/365+AD$20)/(1-가정!$D$66*AD$7/365+가정!$D$67*AD$7/365)),0)</f>
        <v>6043.02064222193</v>
      </c>
      <c r="AE85" s="11" t="n">
        <f aca="false">IF(AE$19&gt;0,MAX(0,(AE$21-AE83+AE84*가정!$D$66*AE$7/365+MAX(0,AE$19-AE84)*가정!$D$67*AE$7/365+AE$20)/(1-가정!$D$66*AE$7/365+가정!$D$67*AE$7/365)),0)</f>
        <v>6721.1245140468</v>
      </c>
      <c r="AF85" s="11" t="n">
        <f aca="false">IF(AF$19&gt;0,MAX(0,(AF$21-AF83+AF84*가정!$D$66*AF$7/365+MAX(0,AF$19-AF84)*가정!$D$67*AF$7/365+AF$20)/(1-가정!$D$66*AF$7/365+가정!$D$67*AF$7/365)),0)</f>
        <v>0</v>
      </c>
      <c r="AG85" s="11" t="n">
        <f aca="false">IF(AG$19&gt;0,MAX(0,(AG$21-AG83+AG84*가정!$D$66*AG$7/365+MAX(0,AG$19-AG84)*가정!$D$67*AG$7/365+AG$20)/(1-가정!$D$66*AG$7/365+가정!$D$67*AG$7/365)),0)</f>
        <v>0</v>
      </c>
      <c r="AH85" s="11" t="n">
        <f aca="false">IF(AH$19&gt;0,MAX(0,(AH$21-AH83+AH84*가정!$D$66*AH$7/365+MAX(0,AH$19-AH84)*가정!$D$67*AH$7/365+AH$20)/(1-가정!$D$66*AH$7/365+가정!$D$67*AH$7/365)),0)</f>
        <v>0</v>
      </c>
    </row>
    <row r="86" customFormat="false" ht="15" hidden="false" customHeight="false" outlineLevel="0" collapsed="false">
      <c r="B86" s="19" t="s">
        <v>269</v>
      </c>
      <c r="C86" s="21" t="n">
        <f aca="false">SUM(E86:AH86)</f>
        <v>4500</v>
      </c>
      <c r="D86" s="21"/>
      <c r="E86" s="21" t="n">
        <f aca="false">MIN(MAX(0,E$19-E84),E85)</f>
        <v>0</v>
      </c>
      <c r="F86" s="21" t="n">
        <f aca="false">MIN(MAX(0,F$19-F84),F85)</f>
        <v>0</v>
      </c>
      <c r="G86" s="21" t="n">
        <f aca="false">MIN(MAX(0,G$19-G84),G85)</f>
        <v>0</v>
      </c>
      <c r="H86" s="21" t="n">
        <f aca="false">MIN(MAX(0,H$19-H84),H85)</f>
        <v>0</v>
      </c>
      <c r="I86" s="21" t="n">
        <f aca="false">MIN(MAX(0,I$19-I84),I85)</f>
        <v>0</v>
      </c>
      <c r="J86" s="21" t="n">
        <f aca="false">MIN(MAX(0,J$19-J84),J85)</f>
        <v>0</v>
      </c>
      <c r="K86" s="21" t="n">
        <f aca="false">MIN(MAX(0,K$19-K84),K85)</f>
        <v>0</v>
      </c>
      <c r="L86" s="21" t="n">
        <f aca="false">MIN(MAX(0,L$19-L84),L85)</f>
        <v>0</v>
      </c>
      <c r="M86" s="21" t="n">
        <f aca="false">MIN(MAX(0,M$19-M84),M85)</f>
        <v>1639.91642462636</v>
      </c>
      <c r="N86" s="21" t="n">
        <f aca="false">MIN(MAX(0,N$19-N84),N85)</f>
        <v>2008.19210643895</v>
      </c>
      <c r="O86" s="21" t="n">
        <f aca="false">MIN(MAX(0,O$19-O84),O85)</f>
        <v>851.891468934691</v>
      </c>
      <c r="P86" s="21" t="n">
        <f aca="false">MIN(MAX(0,P$19-P84),P85)</f>
        <v>0</v>
      </c>
      <c r="Q86" s="21" t="n">
        <f aca="false">MIN(MAX(0,Q$19-Q84),Q85)</f>
        <v>0</v>
      </c>
      <c r="R86" s="21" t="n">
        <f aca="false">MIN(MAX(0,R$19-R84),R85)</f>
        <v>0</v>
      </c>
      <c r="S86" s="21" t="n">
        <f aca="false">MIN(MAX(0,S$19-S84),S85)</f>
        <v>0</v>
      </c>
      <c r="T86" s="21" t="n">
        <f aca="false">MIN(MAX(0,T$19-T84),T85)</f>
        <v>0</v>
      </c>
      <c r="U86" s="21" t="n">
        <f aca="false">MIN(MAX(0,U$19-U84),U85)</f>
        <v>0</v>
      </c>
      <c r="V86" s="21" t="n">
        <f aca="false">MIN(MAX(0,V$19-V84),V85)</f>
        <v>0</v>
      </c>
      <c r="W86" s="21" t="n">
        <f aca="false">MIN(MAX(0,W$19-W84),W85)</f>
        <v>0</v>
      </c>
      <c r="X86" s="21" t="n">
        <f aca="false">MIN(MAX(0,X$19-X84),X85)</f>
        <v>0</v>
      </c>
      <c r="Y86" s="21" t="n">
        <f aca="false">MIN(MAX(0,Y$19-Y84),Y85)</f>
        <v>0</v>
      </c>
      <c r="Z86" s="21" t="n">
        <f aca="false">MIN(MAX(0,Z$19-Z84),Z85)</f>
        <v>0</v>
      </c>
      <c r="AA86" s="21" t="n">
        <f aca="false">MIN(MAX(0,AA$19-AA84),AA85)</f>
        <v>0</v>
      </c>
      <c r="AB86" s="21" t="n">
        <f aca="false">MIN(MAX(0,AB$19-AB84),AB85)</f>
        <v>0</v>
      </c>
      <c r="AC86" s="21" t="n">
        <f aca="false">MIN(MAX(0,AC$19-AC84),AC85)</f>
        <v>0</v>
      </c>
      <c r="AD86" s="21" t="n">
        <f aca="false">MIN(MAX(0,AD$19-AD84),AD85)</f>
        <v>0</v>
      </c>
      <c r="AE86" s="21" t="n">
        <f aca="false">MIN(MAX(0,AE$19-AE84),AE85)</f>
        <v>0</v>
      </c>
      <c r="AF86" s="21" t="n">
        <f aca="false">MIN(MAX(0,AF$19-AF84),AF85)</f>
        <v>0</v>
      </c>
      <c r="AG86" s="21" t="n">
        <f aca="false">MIN(MAX(0,AG$19-AG84),AG85)</f>
        <v>0</v>
      </c>
      <c r="AH86" s="21" t="n">
        <f aca="false">MIN(MAX(0,AH$19-AH84),AH85)</f>
        <v>0</v>
      </c>
    </row>
    <row r="87" customFormat="false" ht="15" hidden="false" customHeight="false" outlineLevel="0" collapsed="false">
      <c r="B87" s="5" t="s">
        <v>270</v>
      </c>
      <c r="C87" s="11" t="n">
        <f aca="false">SUM(E87:AH87)</f>
        <v>287.185720367139</v>
      </c>
      <c r="D87" s="11"/>
      <c r="E87" s="11" t="n">
        <f aca="false">(E84+E86)*가정!$D$66*E$7/365</f>
        <v>0</v>
      </c>
      <c r="F87" s="11" t="n">
        <f aca="false">(F84+F86)*가정!$D$66*F$7/365</f>
        <v>0</v>
      </c>
      <c r="G87" s="11" t="n">
        <f aca="false">(G84+G86)*가정!$D$66*G$7/365</f>
        <v>0</v>
      </c>
      <c r="H87" s="11" t="n">
        <f aca="false">(H84+H86)*가정!$D$66*H$7/365</f>
        <v>0</v>
      </c>
      <c r="I87" s="11" t="n">
        <f aca="false">(I84+I86)*가정!$D$66*I$7/365</f>
        <v>0</v>
      </c>
      <c r="J87" s="11" t="n">
        <f aca="false">(J84+J86)*가정!$D$66*J$7/365</f>
        <v>0</v>
      </c>
      <c r="K87" s="11" t="n">
        <f aca="false">(K84+K86)*가정!$D$66*K$7/365</f>
        <v>0</v>
      </c>
      <c r="L87" s="11" t="n">
        <f aca="false">(L84+L86)*가정!$D$66*L$7/365</f>
        <v>0</v>
      </c>
      <c r="M87" s="11" t="n">
        <f aca="false">(M84+M86)*가정!$D$66*M$7/365</f>
        <v>5.84978406811924</v>
      </c>
      <c r="N87" s="11" t="n">
        <f aca="false">(N84+N86)*가정!$D$66*N$7/365</f>
        <v>12.5934705455953</v>
      </c>
      <c r="O87" s="11" t="n">
        <f aca="false">(O84+O86)*가정!$D$66*O$7/365</f>
        <v>16.0520547945205</v>
      </c>
      <c r="P87" s="11" t="n">
        <f aca="false">(P84+P86)*가정!$D$66*P$7/365</f>
        <v>15.5342465753425</v>
      </c>
      <c r="Q87" s="11" t="n">
        <f aca="false">(Q84+Q86)*가정!$D$66*Q$7/365</f>
        <v>16.0520547945205</v>
      </c>
      <c r="R87" s="11" t="n">
        <f aca="false">(R84+R86)*가정!$D$66*R$7/365</f>
        <v>16.0520547945205</v>
      </c>
      <c r="S87" s="11" t="n">
        <f aca="false">(S84+S86)*가정!$D$66*S$7/365</f>
        <v>15.5342465753425</v>
      </c>
      <c r="T87" s="11" t="n">
        <f aca="false">(T84+T86)*가정!$D$66*T$7/365</f>
        <v>16.0520547945205</v>
      </c>
      <c r="U87" s="11" t="n">
        <f aca="false">(U84+U86)*가정!$D$66*U$7/365</f>
        <v>15.5342465753425</v>
      </c>
      <c r="V87" s="11" t="n">
        <f aca="false">(V84+V86)*가정!$D$66*V$7/365</f>
        <v>16.0520547945205</v>
      </c>
      <c r="W87" s="11" t="n">
        <f aca="false">(W84+W86)*가정!$D$66*W$7/365</f>
        <v>16.0520547945205</v>
      </c>
      <c r="X87" s="11" t="n">
        <f aca="false">(X84+X86)*가정!$D$66*X$7/365</f>
        <v>15.0164383561644</v>
      </c>
      <c r="Y87" s="11" t="n">
        <f aca="false">(Y84+Y86)*가정!$D$66*Y$7/365</f>
        <v>16.0520547945205</v>
      </c>
      <c r="Z87" s="11" t="n">
        <f aca="false">(Z84+Z86)*가정!$D$66*Z$7/365</f>
        <v>15.5342465753425</v>
      </c>
      <c r="AA87" s="11" t="n">
        <f aca="false">(AA84+AA86)*가정!$D$66*AA$7/365</f>
        <v>16.0520547945205</v>
      </c>
      <c r="AB87" s="11" t="n">
        <f aca="false">(AB84+AB86)*가정!$D$66*AB$7/365</f>
        <v>15.5342465753425</v>
      </c>
      <c r="AC87" s="11" t="n">
        <f aca="false">(AC84+AC86)*가정!$D$66*AC$7/365</f>
        <v>16.0520547945205</v>
      </c>
      <c r="AD87" s="11" t="n">
        <f aca="false">(AD84+AD86)*가정!$D$66*AD$7/365</f>
        <v>16.0520547945205</v>
      </c>
      <c r="AE87" s="11" t="n">
        <f aca="false">(AE84+AE86)*가정!$D$66*AE$7/365</f>
        <v>15.5342465753425</v>
      </c>
      <c r="AF87" s="11" t="n">
        <f aca="false">(AF84+AF86)*가정!$D$66*AF$7/365</f>
        <v>0</v>
      </c>
      <c r="AG87" s="11" t="n">
        <f aca="false">(AG84+AG86)*가정!$D$66*AG$7/365</f>
        <v>0</v>
      </c>
      <c r="AH87" s="11" t="n">
        <f aca="false">(AH84+AH86)*가정!$D$66*AH$7/365</f>
        <v>0</v>
      </c>
    </row>
    <row r="88" customFormat="false" ht="15" hidden="false" customHeight="false" outlineLevel="0" collapsed="false">
      <c r="B88" s="5" t="s">
        <v>19</v>
      </c>
      <c r="C88" s="11" t="n">
        <f aca="false">SUM(E88:AH88)</f>
        <v>5.4364338007166</v>
      </c>
      <c r="D88" s="11"/>
      <c r="E88" s="11" t="n">
        <f aca="false">MAX(0,E$19-E84-E86)*가정!$D$67*E$7/365</f>
        <v>0</v>
      </c>
      <c r="F88" s="11" t="n">
        <f aca="false">MAX(0,F$19-F84-F86)*가정!$D$67*F$7/365</f>
        <v>0</v>
      </c>
      <c r="G88" s="11" t="n">
        <f aca="false">MAX(0,G$19-G84-G86)*가정!$D$67*G$7/365</f>
        <v>0</v>
      </c>
      <c r="H88" s="11" t="n">
        <f aca="false">MAX(0,H$19-H84-H86)*가정!$D$67*H$7/365</f>
        <v>0.955479452054795</v>
      </c>
      <c r="I88" s="11" t="n">
        <f aca="false">MAX(0,I$19-I84-I86)*가정!$D$67*I$7/365</f>
        <v>0.924657534246575</v>
      </c>
      <c r="J88" s="11" t="n">
        <f aca="false">MAX(0,J$19-J84-J86)*가정!$D$67*J$7/365</f>
        <v>0.955479452054795</v>
      </c>
      <c r="K88" s="11" t="n">
        <f aca="false">MAX(0,K$19-K84-K86)*가정!$D$67*K$7/365</f>
        <v>0.955479452054795</v>
      </c>
      <c r="L88" s="11" t="n">
        <f aca="false">MAX(0,L$19-L84-L86)*가정!$D$67*L$7/365</f>
        <v>0.863013698630137</v>
      </c>
      <c r="M88" s="11" t="n">
        <f aca="false">MAX(0,M$19-M84-M86)*가정!$D$67*M$7/365</f>
        <v>0.607278019428649</v>
      </c>
      <c r="N88" s="11" t="n">
        <f aca="false">MAX(0,N$19-N84-N86)*가정!$D$67*N$7/365</f>
        <v>0.175046192246854</v>
      </c>
      <c r="O88" s="11" t="n">
        <f aca="false">MAX(0,O$19-O84-O86)*가정!$D$67*O$7/365</f>
        <v>0</v>
      </c>
      <c r="P88" s="11" t="n">
        <f aca="false">MAX(0,P$19-P84-P86)*가정!$D$67*P$7/365</f>
        <v>0</v>
      </c>
      <c r="Q88" s="11" t="n">
        <f aca="false">MAX(0,Q$19-Q84-Q86)*가정!$D$67*Q$7/365</f>
        <v>0</v>
      </c>
      <c r="R88" s="11" t="n">
        <f aca="false">MAX(0,R$19-R84-R86)*가정!$D$67*R$7/365</f>
        <v>0</v>
      </c>
      <c r="S88" s="11" t="n">
        <f aca="false">MAX(0,S$19-S84-S86)*가정!$D$67*S$7/365</f>
        <v>0</v>
      </c>
      <c r="T88" s="11" t="n">
        <f aca="false">MAX(0,T$19-T84-T86)*가정!$D$67*T$7/365</f>
        <v>0</v>
      </c>
      <c r="U88" s="11" t="n">
        <f aca="false">MAX(0,U$19-U84-U86)*가정!$D$67*U$7/365</f>
        <v>0</v>
      </c>
      <c r="V88" s="11" t="n">
        <f aca="false">MAX(0,V$19-V84-V86)*가정!$D$67*V$7/365</f>
        <v>0</v>
      </c>
      <c r="W88" s="11" t="n">
        <f aca="false">MAX(0,W$19-W84-W86)*가정!$D$67*W$7/365</f>
        <v>0</v>
      </c>
      <c r="X88" s="11" t="n">
        <f aca="false">MAX(0,X$19-X84-X86)*가정!$D$67*X$7/365</f>
        <v>0</v>
      </c>
      <c r="Y88" s="11" t="n">
        <f aca="false">MAX(0,Y$19-Y84-Y86)*가정!$D$67*Y$7/365</f>
        <v>0</v>
      </c>
      <c r="Z88" s="11" t="n">
        <f aca="false">MAX(0,Z$19-Z84-Z86)*가정!$D$67*Z$7/365</f>
        <v>0</v>
      </c>
      <c r="AA88" s="11" t="n">
        <f aca="false">MAX(0,AA$19-AA84-AA86)*가정!$D$67*AA$7/365</f>
        <v>0</v>
      </c>
      <c r="AB88" s="11" t="n">
        <f aca="false">MAX(0,AB$19-AB84-AB86)*가정!$D$67*AB$7/365</f>
        <v>0</v>
      </c>
      <c r="AC88" s="11" t="n">
        <f aca="false">MAX(0,AC$19-AC84-AC86)*가정!$D$67*AC$7/365</f>
        <v>0</v>
      </c>
      <c r="AD88" s="11" t="n">
        <f aca="false">MAX(0,AD$19-AD84-AD86)*가정!$D$67*AD$7/365</f>
        <v>0</v>
      </c>
      <c r="AE88" s="11" t="n">
        <f aca="false">MAX(0,AE$19-AE84-AE86)*가정!$D$67*AE$7/365</f>
        <v>0</v>
      </c>
      <c r="AF88" s="11" t="n">
        <f aca="false">MAX(0,AF$19-AF84-AF86)*가정!$D$67*AF$7/365</f>
        <v>0</v>
      </c>
      <c r="AG88" s="11" t="n">
        <f aca="false">MAX(0,AG$19-AG84-AG86)*가정!$D$67*AG$7/365</f>
        <v>0</v>
      </c>
      <c r="AH88" s="11" t="n">
        <f aca="false">MAX(0,AH$19-AH84-AH86)*가정!$D$67*AH$7/365</f>
        <v>0</v>
      </c>
    </row>
    <row r="89" customFormat="false" ht="15" hidden="false" customHeight="false" outlineLevel="0" collapsed="false">
      <c r="B89" s="5" t="s">
        <v>271</v>
      </c>
      <c r="C89" s="11" t="n">
        <f aca="false">SUM(E89:AH89)</f>
        <v>4500</v>
      </c>
      <c r="D89" s="11"/>
      <c r="E89" s="11" t="n">
        <f aca="false">IF(E$6=EOMONTH(가정!$C$70,0),E84+E86,MIN(E84+E86,MAX(0,E83+E86-E$20-E87-E88-E$21)))</f>
        <v>0</v>
      </c>
      <c r="F89" s="11" t="n">
        <f aca="false">IF(F$6=EOMONTH(가정!$C$70,0),F84+F86,MIN(F84+F86,MAX(0,F83+F86-F$20-F87-F88-F$21)))</f>
        <v>0</v>
      </c>
      <c r="G89" s="11" t="n">
        <f aca="false">IF(G$6=EOMONTH(가정!$C$70,0),G84+G86,MIN(G84+G86,MAX(0,G83+G86-G$20-G87-G88-G$21)))</f>
        <v>0</v>
      </c>
      <c r="H89" s="11" t="n">
        <f aca="false">IF(H$6=EOMONTH(가정!$C$70,0),H84+H86,MIN(H84+H86,MAX(0,H83+H86-H$20-H87-H88-H$21)))</f>
        <v>0</v>
      </c>
      <c r="I89" s="11" t="n">
        <f aca="false">IF(I$6=EOMONTH(가정!$C$70,0),I84+I86,MIN(I84+I86,MAX(0,I83+I86-I$20-I87-I88-I$21)))</f>
        <v>0</v>
      </c>
      <c r="J89" s="11" t="n">
        <f aca="false">IF(J$6=EOMONTH(가정!$C$70,0),J84+J86,MIN(J84+J86,MAX(0,J83+J86-J$20-J87-J88-J$21)))</f>
        <v>0</v>
      </c>
      <c r="K89" s="11" t="n">
        <f aca="false">IF(K$6=EOMONTH(가정!$C$70,0),K84+K86,MIN(K84+K86,MAX(0,K83+K86-K$20-K87-K88-K$21)))</f>
        <v>0</v>
      </c>
      <c r="L89" s="11" t="n">
        <f aca="false">IF(L$6=EOMONTH(가정!$C$70,0),L84+L86,MIN(L84+L86,MAX(0,L83+L86-L$20-L87-L88-L$21)))</f>
        <v>0</v>
      </c>
      <c r="M89" s="11" t="n">
        <f aca="false">IF(M$6=EOMONTH(가정!$C$70,0),M84+M86,MIN(M84+M86,MAX(0,M83+M86-M$20-M87-M88-M$21)))</f>
        <v>0</v>
      </c>
      <c r="N89" s="11" t="n">
        <f aca="false">IF(N$6=EOMONTH(가정!$C$70,0),N84+N86,MIN(N84+N86,MAX(0,N83+N86-N$20-N87-N88-N$21)))</f>
        <v>0</v>
      </c>
      <c r="O89" s="11" t="n">
        <f aca="false">IF(O$6=EOMONTH(가정!$C$70,0),O84+O86,MIN(O84+O86,MAX(0,O83+O86-O$20-O87-O88-O$21)))</f>
        <v>0</v>
      </c>
      <c r="P89" s="11" t="n">
        <f aca="false">IF(P$6=EOMONTH(가정!$C$70,0),P84+P86,MIN(P84+P86,MAX(0,P83+P86-P$20-P87-P88-P$21)))</f>
        <v>0</v>
      </c>
      <c r="Q89" s="11" t="n">
        <f aca="false">IF(Q$6=EOMONTH(가정!$C$70,0),Q84+Q86,MIN(Q84+Q86,MAX(0,Q83+Q86-Q$20-Q87-Q88-Q$21)))</f>
        <v>0</v>
      </c>
      <c r="R89" s="11" t="n">
        <f aca="false">IF(R$6=EOMONTH(가정!$C$70,0),R84+R86,MIN(R84+R86,MAX(0,R83+R86-R$20-R87-R88-R$21)))</f>
        <v>0</v>
      </c>
      <c r="S89" s="11" t="n">
        <f aca="false">IF(S$6=EOMONTH(가정!$C$70,0),S84+S86,MIN(S84+S86,MAX(0,S83+S86-S$20-S87-S88-S$21)))</f>
        <v>0</v>
      </c>
      <c r="T89" s="11" t="n">
        <f aca="false">IF(T$6=EOMONTH(가정!$C$70,0),T84+T86,MIN(T84+T86,MAX(0,T83+T86-T$20-T87-T88-T$21)))</f>
        <v>0</v>
      </c>
      <c r="U89" s="11" t="n">
        <f aca="false">IF(U$6=EOMONTH(가정!$C$70,0),U84+U86,MIN(U84+U86,MAX(0,U83+U86-U$20-U87-U88-U$21)))</f>
        <v>0</v>
      </c>
      <c r="V89" s="11" t="n">
        <f aca="false">IF(V$6=EOMONTH(가정!$C$70,0),V84+V86,MIN(V84+V86,MAX(0,V83+V86-V$20-V87-V88-V$21)))</f>
        <v>0</v>
      </c>
      <c r="W89" s="11" t="n">
        <f aca="false">IF(W$6=EOMONTH(가정!$C$70,0),W84+W86,MIN(W84+W86,MAX(0,W83+W86-W$20-W87-W88-W$21)))</f>
        <v>0</v>
      </c>
      <c r="X89" s="11" t="n">
        <f aca="false">IF(X$6=EOMONTH(가정!$C$70,0),X84+X86,MIN(X84+X86,MAX(0,X83+X86-X$20-X87-X88-X$21)))</f>
        <v>0</v>
      </c>
      <c r="Y89" s="11" t="n">
        <f aca="false">IF(Y$6=EOMONTH(가정!$C$70,0),Y84+Y86,MIN(Y84+Y86,MAX(0,Y83+Y86-Y$20-Y87-Y88-Y$21)))</f>
        <v>0</v>
      </c>
      <c r="Z89" s="11" t="n">
        <f aca="false">IF(Z$6=EOMONTH(가정!$C$70,0),Z84+Z86,MIN(Z84+Z86,MAX(0,Z83+Z86-Z$20-Z87-Z88-Z$21)))</f>
        <v>0</v>
      </c>
      <c r="AA89" s="11" t="n">
        <f aca="false">IF(AA$6=EOMONTH(가정!$C$70,0),AA84+AA86,MIN(AA84+AA86,MAX(0,AA83+AA86-AA$20-AA87-AA88-AA$21)))</f>
        <v>0</v>
      </c>
      <c r="AB89" s="11" t="n">
        <f aca="false">IF(AB$6=EOMONTH(가정!$C$70,0),AB84+AB86,MIN(AB84+AB86,MAX(0,AB83+AB86-AB$20-AB87-AB88-AB$21)))</f>
        <v>0</v>
      </c>
      <c r="AC89" s="11" t="n">
        <f aca="false">IF(AC$6=EOMONTH(가정!$C$70,0),AC84+AC86,MIN(AC84+AC86,MAX(0,AC83+AC86-AC$20-AC87-AC88-AC$21)))</f>
        <v>0</v>
      </c>
      <c r="AD89" s="11" t="n">
        <f aca="false">IF(AD$6=EOMONTH(가정!$C$70,0),AD84+AD86,MIN(AD84+AD86,MAX(0,AD83+AD86-AD$20-AD87-AD88-AD$21)))</f>
        <v>0</v>
      </c>
      <c r="AE89" s="11" t="n">
        <f aca="false">IF(AE$6=EOMONTH(가정!$C$70,0),AE84+AE86,MIN(AE84+AE86,MAX(0,AE83+AE86-AE$20-AE87-AE88-AE$21)))</f>
        <v>4500</v>
      </c>
      <c r="AF89" s="11" t="n">
        <f aca="false">IF(AF$6=EOMONTH(가정!$C$70,0),AF84+AF86,MIN(AF84+AF86,MAX(0,AF83+AF86-AF$20-AF87-AF88-AF$21)))</f>
        <v>0</v>
      </c>
      <c r="AG89" s="11" t="n">
        <f aca="false">IF(AG$6=EOMONTH(가정!$C$70,0),AG84+AG86,MIN(AG84+AG86,MAX(0,AG83+AG86-AG$20-AG87-AG88-AG$21)))</f>
        <v>0</v>
      </c>
      <c r="AH89" s="11" t="n">
        <f aca="false">IF(AH$6=EOMONTH(가정!$C$70,0),AH84+AH86,MIN(AH84+AH86,MAX(0,AH83+AH86-AH$20-AH87-AH88-AH$21)))</f>
        <v>0</v>
      </c>
    </row>
    <row r="90" customFormat="false" ht="15" hidden="false" customHeight="false" outlineLevel="0" collapsed="false">
      <c r="B90" s="19" t="s">
        <v>272</v>
      </c>
      <c r="C90" s="21"/>
      <c r="D90" s="21"/>
      <c r="E90" s="21" t="n">
        <f aca="false">E84+E86-E89</f>
        <v>0</v>
      </c>
      <c r="F90" s="21" t="n">
        <f aca="false">F84+F86-F89</f>
        <v>0</v>
      </c>
      <c r="G90" s="21" t="n">
        <f aca="false">G84+G86-G89</f>
        <v>0</v>
      </c>
      <c r="H90" s="21" t="n">
        <f aca="false">H84+H86-H89</f>
        <v>0</v>
      </c>
      <c r="I90" s="21" t="n">
        <f aca="false">I84+I86-I89</f>
        <v>0</v>
      </c>
      <c r="J90" s="21" t="n">
        <f aca="false">J84+J86-J89</f>
        <v>0</v>
      </c>
      <c r="K90" s="21" t="n">
        <f aca="false">K84+K86-K89</f>
        <v>0</v>
      </c>
      <c r="L90" s="21" t="n">
        <f aca="false">L84+L86-L89</f>
        <v>0</v>
      </c>
      <c r="M90" s="21" t="n">
        <f aca="false">M84+M86-M89</f>
        <v>1639.91642462636</v>
      </c>
      <c r="N90" s="21" t="n">
        <f aca="false">N84+N86-N89</f>
        <v>3648.10853106531</v>
      </c>
      <c r="O90" s="21" t="n">
        <f aca="false">O84+O86-O89</f>
        <v>4500</v>
      </c>
      <c r="P90" s="21" t="n">
        <f aca="false">P84+P86-P89</f>
        <v>4500</v>
      </c>
      <c r="Q90" s="21" t="n">
        <f aca="false">Q84+Q86-Q89</f>
        <v>4500</v>
      </c>
      <c r="R90" s="21" t="n">
        <f aca="false">R84+R86-R89</f>
        <v>4500</v>
      </c>
      <c r="S90" s="21" t="n">
        <f aca="false">S84+S86-S89</f>
        <v>4500</v>
      </c>
      <c r="T90" s="21" t="n">
        <f aca="false">T84+T86-T89</f>
        <v>4500</v>
      </c>
      <c r="U90" s="21" t="n">
        <f aca="false">U84+U86-U89</f>
        <v>4500</v>
      </c>
      <c r="V90" s="21" t="n">
        <f aca="false">V84+V86-V89</f>
        <v>4500</v>
      </c>
      <c r="W90" s="21" t="n">
        <f aca="false">W84+W86-W89</f>
        <v>4500</v>
      </c>
      <c r="X90" s="21" t="n">
        <f aca="false">X84+X86-X89</f>
        <v>4500</v>
      </c>
      <c r="Y90" s="21" t="n">
        <f aca="false">Y84+Y86-Y89</f>
        <v>4500</v>
      </c>
      <c r="Z90" s="21" t="n">
        <f aca="false">Z84+Z86-Z89</f>
        <v>4500</v>
      </c>
      <c r="AA90" s="21" t="n">
        <f aca="false">AA84+AA86-AA89</f>
        <v>4500</v>
      </c>
      <c r="AB90" s="21" t="n">
        <f aca="false">AB84+AB86-AB89</f>
        <v>4500</v>
      </c>
      <c r="AC90" s="21" t="n">
        <f aca="false">AC84+AC86-AC89</f>
        <v>4500</v>
      </c>
      <c r="AD90" s="21" t="n">
        <f aca="false">AD84+AD86-AD89</f>
        <v>4500</v>
      </c>
      <c r="AE90" s="21" t="n">
        <f aca="false">AE84+AE86-AE89</f>
        <v>0</v>
      </c>
      <c r="AF90" s="21" t="n">
        <f aca="false">AF84+AF86-AF89</f>
        <v>0</v>
      </c>
      <c r="AG90" s="21" t="n">
        <f aca="false">AG84+AG86-AG89</f>
        <v>0</v>
      </c>
      <c r="AH90" s="21" t="n">
        <f aca="false">AH84+AH86-AH89</f>
        <v>0</v>
      </c>
    </row>
    <row r="91" customFormat="false" ht="15" hidden="false" customHeight="false" outlineLevel="0" collapsed="false">
      <c r="B91" s="8" t="s">
        <v>273</v>
      </c>
      <c r="C91" s="21"/>
      <c r="D91" s="21" t="n">
        <f aca="false">MIN(E91:AH91)</f>
        <v>-3593.51302359252</v>
      </c>
      <c r="E91" s="21" t="n">
        <f aca="false">E83+E86-E$20-E87-E88-E89</f>
        <v>14222.1539166667</v>
      </c>
      <c r="F91" s="21" t="n">
        <f aca="false">F83+F86-F$20-F87-F88-F89</f>
        <v>14399.5013933333</v>
      </c>
      <c r="G91" s="21" t="n">
        <f aca="false">G83+G86-G$20-G87-G88-G89</f>
        <v>13850.20426</v>
      </c>
      <c r="H91" s="21" t="n">
        <f aca="false">H83+H86-H$20-H87-H88-H89</f>
        <v>11997.4606208468</v>
      </c>
      <c r="I91" s="21" t="n">
        <f aca="false">I83+I86-I$20-I87-I88-I89</f>
        <v>11066.8579529066</v>
      </c>
      <c r="J91" s="21" t="n">
        <f aca="false">J83+J86-J$20-J87-J88-J89</f>
        <v>10136.2243137534</v>
      </c>
      <c r="K91" s="21" t="n">
        <f aca="false">K83+K86-K$20-K87-K88-K89</f>
        <v>9205.59067460026</v>
      </c>
      <c r="L91" s="21" t="n">
        <f aca="false">L83+L86-L$20-L87-L88-L89</f>
        <v>8275.04965049562</v>
      </c>
      <c r="M91" s="21" t="n">
        <f aca="false">M83+M86-M$20-M87-M88-M89</f>
        <v>7605.79085333333</v>
      </c>
      <c r="N91" s="21" t="n">
        <f aca="false">N83+N86-N$20-N87-N88-N89</f>
        <v>7605.79085333333</v>
      </c>
      <c r="O91" s="21" t="n">
        <f aca="false">O83+O86-O$20-O87-O88-O89</f>
        <v>6511.95225706749</v>
      </c>
      <c r="P91" s="21" t="n">
        <f aca="false">P83+P86-P$20-P87-P88-P89</f>
        <v>3278.33985079105</v>
      </c>
      <c r="Q91" s="21" t="n">
        <f aca="false">Q83+Q86-Q$20-Q87-Q88-Q89</f>
        <v>3327.91032532986</v>
      </c>
      <c r="R91" s="21" t="n">
        <f aca="false">R83+R86-R$20-R87-R88-R89</f>
        <v>3377.48079986867</v>
      </c>
      <c r="S91" s="21" t="n">
        <f aca="false">S83+S86-S$20-S87-S88-S89</f>
        <v>2700.92447262666</v>
      </c>
      <c r="T91" s="21" t="n">
        <f aca="false">T83+T86-T$20-T87-T88-T89</f>
        <v>2750.49494716548</v>
      </c>
      <c r="U91" s="21" t="n">
        <f aca="false">U83+U86-U$20-U87-U88-U89</f>
        <v>2800.58322992347</v>
      </c>
      <c r="V91" s="21" t="n">
        <f aca="false">V83+V86-V$20-V87-V88-V89</f>
        <v>2850.15370446228</v>
      </c>
      <c r="W91" s="21" t="n">
        <f aca="false">W83+W86-W$20-W87-W88-W89</f>
        <v>2899.72417900109</v>
      </c>
      <c r="X91" s="21" t="n">
        <f aca="false">X83+X86-X$20-X87-X88-X89</f>
        <v>2950.33026997826</v>
      </c>
      <c r="Y91" s="21" t="n">
        <f aca="false">Y83+Y86-Y$20-Y87-Y88-Y89</f>
        <v>2399.90074451707</v>
      </c>
      <c r="Z91" s="21" t="n">
        <f aca="false">Z83+Z86-Z$20-Z87-Z88-Z89</f>
        <v>1384.24359727506</v>
      </c>
      <c r="AA91" s="21" t="n">
        <f aca="false">AA83+AA86-AA$20-AA87-AA88-AA89</f>
        <v>1433.81407181388</v>
      </c>
      <c r="AB91" s="21" t="n">
        <f aca="false">AB83+AB86-AB$20-AB87-AB88-AB89</f>
        <v>1483.90235457187</v>
      </c>
      <c r="AC91" s="21" t="n">
        <f aca="false">AC83+AC86-AC$20-AC87-AC88-AC89</f>
        <v>1533.47282911068</v>
      </c>
      <c r="AD91" s="21" t="n">
        <f aca="false">AD83+AD86-AD$20-AD87-AD88-AD89</f>
        <v>1583.04330364949</v>
      </c>
      <c r="AE91" s="21" t="n">
        <f aca="false">AE83+AE86-AE$20-AE87-AE88-AE89</f>
        <v>-3593.51302359252</v>
      </c>
      <c r="AF91" s="21" t="n">
        <f aca="false">AF83+AF86-AF$20-AF87-AF88-AF89</f>
        <v>-3527.89049425918</v>
      </c>
      <c r="AG91" s="21" t="n">
        <f aca="false">AG83+AG86-AG$20-AG87-AG88-AG89</f>
        <v>-3462.26796492585</v>
      </c>
      <c r="AH91" s="21" t="n">
        <f aca="false">AH83+AH86-AH$20-AH87-AH88-AH89</f>
        <v>-3396.64543559252</v>
      </c>
    </row>
    <row r="92" customFormat="false" ht="15" hidden="false" customHeight="false" outlineLevel="0" collapsed="false">
      <c r="B92" s="5" t="s">
        <v>274</v>
      </c>
      <c r="C92" s="11"/>
      <c r="D92" s="11" t="n">
        <f aca="false">MIN(E92:AH92)</f>
        <v>-11199.3038769259</v>
      </c>
      <c r="E92" s="11" t="n">
        <f aca="false">E91-E$21</f>
        <v>6616.36306333333</v>
      </c>
      <c r="F92" s="11" t="n">
        <f aca="false">F91-F$21</f>
        <v>6793.71054</v>
      </c>
      <c r="G92" s="11" t="n">
        <f aca="false">G91-G$21</f>
        <v>6244.41340666667</v>
      </c>
      <c r="H92" s="11" t="n">
        <f aca="false">H91-H$21</f>
        <v>4391.66976751351</v>
      </c>
      <c r="I92" s="11" t="n">
        <f aca="false">I91-I$21</f>
        <v>3461.06709957325</v>
      </c>
      <c r="J92" s="11" t="n">
        <f aca="false">J91-J$21</f>
        <v>2530.43346042009</v>
      </c>
      <c r="K92" s="11" t="n">
        <f aca="false">K91-K$21</f>
        <v>1599.79982126693</v>
      </c>
      <c r="L92" s="11" t="n">
        <f aca="false">L91-L$21</f>
        <v>669.25879716229</v>
      </c>
      <c r="M92" s="11" t="n">
        <f aca="false">M91-M$21</f>
        <v>0</v>
      </c>
      <c r="N92" s="11" t="n">
        <f aca="false">N91-N$21</f>
        <v>0</v>
      </c>
      <c r="O92" s="11" t="n">
        <f aca="false">O91-O$21</f>
        <v>-1093.83859626584</v>
      </c>
      <c r="P92" s="11" t="n">
        <f aca="false">P91-P$21</f>
        <v>-4327.45100254229</v>
      </c>
      <c r="Q92" s="11" t="n">
        <f aca="false">Q91-Q$21</f>
        <v>-4277.88052800347</v>
      </c>
      <c r="R92" s="11" t="n">
        <f aca="false">R91-R$21</f>
        <v>-4228.31005346466</v>
      </c>
      <c r="S92" s="11" t="n">
        <f aca="false">S91-S$21</f>
        <v>-4904.86638070667</v>
      </c>
      <c r="T92" s="11" t="n">
        <f aca="false">T91-T$21</f>
        <v>-4855.29590616786</v>
      </c>
      <c r="U92" s="11" t="n">
        <f aca="false">U91-U$21</f>
        <v>-4805.20762340987</v>
      </c>
      <c r="V92" s="11" t="n">
        <f aca="false">V91-V$21</f>
        <v>-4755.63714887106</v>
      </c>
      <c r="W92" s="11" t="n">
        <f aca="false">W91-W$21</f>
        <v>-4706.06667433224</v>
      </c>
      <c r="X92" s="11" t="n">
        <f aca="false">X91-X$21</f>
        <v>-4655.46058335507</v>
      </c>
      <c r="Y92" s="11" t="n">
        <f aca="false">Y91-Y$21</f>
        <v>-5205.89010881626</v>
      </c>
      <c r="Z92" s="11" t="n">
        <f aca="false">Z91-Z$21</f>
        <v>-6221.54725605827</v>
      </c>
      <c r="AA92" s="11" t="n">
        <f aca="false">AA91-AA$21</f>
        <v>-6171.97678151946</v>
      </c>
      <c r="AB92" s="11" t="n">
        <f aca="false">AB91-AB$21</f>
        <v>-6121.88849876147</v>
      </c>
      <c r="AC92" s="11" t="n">
        <f aca="false">AC91-AC$21</f>
        <v>-6072.31802422265</v>
      </c>
      <c r="AD92" s="11" t="n">
        <f aca="false">AD91-AD$21</f>
        <v>-6022.74754968384</v>
      </c>
      <c r="AE92" s="11" t="n">
        <f aca="false">AE91-AE$21</f>
        <v>-11199.3038769259</v>
      </c>
      <c r="AF92" s="11" t="n">
        <f aca="false">AF91-AF$21</f>
        <v>-11133.6813475925</v>
      </c>
      <c r="AG92" s="11" t="n">
        <f aca="false">AG91-AG$21</f>
        <v>-11068.0588182592</v>
      </c>
      <c r="AH92" s="11" t="n">
        <f aca="false">AH91-AH$21</f>
        <v>-11002.4362889259</v>
      </c>
    </row>
    <row r="93" customFormat="false" ht="15" hidden="false" customHeight="false" outlineLevel="0" collapsed="false">
      <c r="B93" s="5" t="s">
        <v>275</v>
      </c>
      <c r="C93" s="11" t="n">
        <f aca="false">SUM(E93:AH93)</f>
        <v>299.372154167856</v>
      </c>
      <c r="D93" s="11"/>
      <c r="E93" s="11" t="n">
        <f aca="false">E$20+E87+E88</f>
        <v>0</v>
      </c>
      <c r="F93" s="11" t="n">
        <f aca="false">F$20+F87+F88</f>
        <v>0</v>
      </c>
      <c r="G93" s="11" t="n">
        <f aca="false">G$20+G87+G88</f>
        <v>0</v>
      </c>
      <c r="H93" s="11" t="n">
        <f aca="false">H$20+H87+H88</f>
        <v>7.7054794520548</v>
      </c>
      <c r="I93" s="11" t="n">
        <f aca="false">I$20+I87+I88</f>
        <v>0.924657534246575</v>
      </c>
      <c r="J93" s="11" t="n">
        <f aca="false">J$20+J87+J88</f>
        <v>0.955479452054795</v>
      </c>
      <c r="K93" s="11" t="n">
        <f aca="false">K$20+K87+K88</f>
        <v>0.955479452054795</v>
      </c>
      <c r="L93" s="11" t="n">
        <f aca="false">L$20+L87+L88</f>
        <v>0.863013698630137</v>
      </c>
      <c r="M93" s="11" t="n">
        <f aca="false">M$20+M87+M88</f>
        <v>6.45706208754789</v>
      </c>
      <c r="N93" s="11" t="n">
        <f aca="false">N$20+N87+N88</f>
        <v>12.7685167378422</v>
      </c>
      <c r="O93" s="11" t="n">
        <f aca="false">O$20+O87+O88</f>
        <v>16.0520547945205</v>
      </c>
      <c r="P93" s="11" t="n">
        <f aca="false">P$20+P87+P88</f>
        <v>15.5342465753425</v>
      </c>
      <c r="Q93" s="11" t="n">
        <f aca="false">Q$20+Q87+Q88</f>
        <v>16.0520547945205</v>
      </c>
      <c r="R93" s="11" t="n">
        <f aca="false">R$20+R87+R88</f>
        <v>16.0520547945205</v>
      </c>
      <c r="S93" s="11" t="n">
        <f aca="false">S$20+S87+S88</f>
        <v>15.5342465753425</v>
      </c>
      <c r="T93" s="11" t="n">
        <f aca="false">T$20+T87+T88</f>
        <v>16.0520547945205</v>
      </c>
      <c r="U93" s="11" t="n">
        <f aca="false">U$20+U87+U88</f>
        <v>15.5342465753425</v>
      </c>
      <c r="V93" s="11" t="n">
        <f aca="false">V$20+V87+V88</f>
        <v>16.0520547945205</v>
      </c>
      <c r="W93" s="11" t="n">
        <f aca="false">W$20+W87+W88</f>
        <v>16.0520547945205</v>
      </c>
      <c r="X93" s="11" t="n">
        <f aca="false">X$20+X87+X88</f>
        <v>15.0164383561644</v>
      </c>
      <c r="Y93" s="11" t="n">
        <f aca="false">Y$20+Y87+Y88</f>
        <v>16.0520547945205</v>
      </c>
      <c r="Z93" s="11" t="n">
        <f aca="false">Z$20+Z87+Z88</f>
        <v>15.5342465753425</v>
      </c>
      <c r="AA93" s="11" t="n">
        <f aca="false">AA$20+AA87+AA88</f>
        <v>16.0520547945205</v>
      </c>
      <c r="AB93" s="11" t="n">
        <f aca="false">AB$20+AB87+AB88</f>
        <v>15.5342465753425</v>
      </c>
      <c r="AC93" s="11" t="n">
        <f aca="false">AC$20+AC87+AC88</f>
        <v>16.0520547945205</v>
      </c>
      <c r="AD93" s="11" t="n">
        <f aca="false">AD$20+AD87+AD88</f>
        <v>16.0520547945205</v>
      </c>
      <c r="AE93" s="11" t="n">
        <f aca="false">AE$20+AE87+AE88</f>
        <v>15.5342465753425</v>
      </c>
      <c r="AF93" s="11" t="n">
        <f aca="false">AF$20+AF87+AF88</f>
        <v>0</v>
      </c>
      <c r="AG93" s="11" t="n">
        <f aca="false">AG$20+AG87+AG88</f>
        <v>0</v>
      </c>
      <c r="AH93" s="11" t="n">
        <f aca="false">AH$20+AH87+AH88</f>
        <v>0</v>
      </c>
    </row>
    <row r="96" customFormat="false" ht="15" hidden="false" customHeight="false" outlineLevel="0" collapsed="false">
      <c r="B96" s="2" t="s">
        <v>278</v>
      </c>
    </row>
    <row r="97" customFormat="false" ht="15" hidden="false" customHeight="false" outlineLevel="0" collapsed="false">
      <c r="B97" s="2" t="s">
        <v>279</v>
      </c>
    </row>
    <row r="98" customFormat="false" ht="15" hidden="false" customHeight="false" outlineLevel="0" collapsed="false">
      <c r="B98" s="2" t="s">
        <v>280</v>
      </c>
    </row>
  </sheetData>
  <mergeCells count="4">
    <mergeCell ref="B5:D5"/>
    <mergeCell ref="E5:J5"/>
    <mergeCell ref="K5:V5"/>
    <mergeCell ref="W5:AH5"/>
  </mergeCells>
  <conditionalFormatting sqref="E38:AH38">
    <cfRule type="cellIs" priority="2" operator="greaterThan" aboveAverage="0" equalAverage="0" bottom="0" percent="0" rank="0" text="" dxfId="0">
      <formula>0.001</formula>
    </cfRule>
  </conditionalFormatting>
  <conditionalFormatting sqref="E42:AH42">
    <cfRule type="cellIs" priority="3" operator="greaterThan" aboveAverage="0" equalAverage="0" bottom="0" percent="0" rank="0" text="" dxfId="1">
      <formula>0.001</formula>
    </cfRule>
  </conditionalFormatting>
  <conditionalFormatting sqref="E62:AH62">
    <cfRule type="cellIs" priority="4" operator="greaterThan" aboveAverage="0" equalAverage="0" bottom="0" percent="0" rank="0" text="" dxfId="0">
      <formula>0.001</formula>
    </cfRule>
  </conditionalFormatting>
  <conditionalFormatting sqref="E66:AH66">
    <cfRule type="cellIs" priority="5" operator="greaterThan" aboveAverage="0" equalAverage="0" bottom="0" percent="0" rank="0" text="" dxfId="1">
      <formula>0.001</formula>
    </cfRule>
  </conditionalFormatting>
  <conditionalFormatting sqref="E86:AH86">
    <cfRule type="cellIs" priority="6" operator="greaterThan" aboveAverage="0" equalAverage="0" bottom="0" percent="0" rank="0" text="" dxfId="0">
      <formula>0.001</formula>
    </cfRule>
  </conditionalFormatting>
  <conditionalFormatting sqref="E90:AH90">
    <cfRule type="cellIs" priority="7" operator="greaterThan" aboveAverage="0" equalAverage="0" bottom="0" percent="0" rank="0" text="" dxfId="1">
      <formula>0.001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98989"/>
    <pageSetUpPr fitToPage="false"/>
  </sheetPr>
  <dimension ref="B2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7" min="7" style="0" width="40"/>
  </cols>
  <sheetData>
    <row r="2" customFormat="false" ht="19.4" hidden="false" customHeight="false" outlineLevel="0" collapsed="false">
      <c r="B2" s="1" t="s">
        <v>281</v>
      </c>
    </row>
    <row r="3" customFormat="false" ht="15" hidden="false" customHeight="false" outlineLevel="0" collapsed="false">
      <c r="B3" s="2" t="s">
        <v>282</v>
      </c>
    </row>
    <row r="5" customFormat="false" ht="15" hidden="false" customHeight="false" outlineLevel="0" collapsed="false">
      <c r="C5" s="49" t="n">
        <v>2026</v>
      </c>
      <c r="D5" s="49" t="n">
        <v>2027</v>
      </c>
      <c r="E5" s="49" t="n">
        <v>2028</v>
      </c>
    </row>
    <row r="7" customFormat="false" ht="17.15" hidden="false" customHeight="false" outlineLevel="0" collapsed="false">
      <c r="B7" s="3" t="s">
        <v>283</v>
      </c>
    </row>
    <row r="8" customFormat="false" ht="15" hidden="false" customHeight="false" outlineLevel="0" collapsed="false">
      <c r="B8" s="4" t="s">
        <v>240</v>
      </c>
      <c r="C8" s="4" t="s">
        <v>284</v>
      </c>
      <c r="D8" s="4" t="s">
        <v>238</v>
      </c>
      <c r="E8" s="4" t="s">
        <v>239</v>
      </c>
      <c r="F8" s="4" t="s">
        <v>110</v>
      </c>
      <c r="G8" s="4" t="s">
        <v>6</v>
      </c>
    </row>
    <row r="9" customFormat="false" ht="15" hidden="false" customHeight="false" outlineLevel="0" collapsed="false">
      <c r="B9" s="5" t="s">
        <v>259</v>
      </c>
      <c r="C9" s="11" t="n">
        <f aca="false">SUMPRODUCT((YEAR(CF_자금판!$E$6:$AH$6)=C$5)*CF_자금판!$E$27:$AH$27)</f>
        <v>1675.87421</v>
      </c>
      <c r="D9" s="11" t="n">
        <f aca="false">SUMPRODUCT((YEAR(CF_자금판!$E$6:$AH$6)=D$5)*CF_자금판!$E$27:$AH$27)</f>
        <v>3351.74842</v>
      </c>
      <c r="E9" s="11" t="n">
        <f aca="false">SUMPRODUCT((YEAR(CF_자금판!$E$6:$AH$6)=E$5)*CF_자금판!$E$27:$AH$27)</f>
        <v>3351.74842</v>
      </c>
      <c r="F9" s="43" t="n">
        <f aca="false">SUM(C9:E9)</f>
        <v>8379.37105</v>
      </c>
      <c r="G9" s="7"/>
    </row>
    <row r="10" customFormat="false" ht="15" hidden="false" customHeight="false" outlineLevel="0" collapsed="false">
      <c r="B10" s="5" t="s">
        <v>285</v>
      </c>
      <c r="C10" s="11" t="n">
        <f aca="false">SUMPRODUCT((YEAR(CF_자금판!$E$6:$AH$6)=C$5)*CF_자금판!$E$28:$AH$28)</f>
        <v>0</v>
      </c>
      <c r="D10" s="11" t="n">
        <f aca="false">SUMPRODUCT((YEAR(CF_자금판!$E$6:$AH$6)=D$5)*CF_자금판!$E$28:$AH$28)</f>
        <v>0</v>
      </c>
      <c r="E10" s="11" t="n">
        <f aca="false">SUMPRODUCT((YEAR(CF_자금판!$E$6:$AH$6)=E$5)*CF_자금판!$E$28:$AH$28)</f>
        <v>0</v>
      </c>
      <c r="F10" s="43" t="n">
        <f aca="false">SUM(C10:E10)</f>
        <v>0</v>
      </c>
      <c r="G10" s="7" t="s">
        <v>286</v>
      </c>
    </row>
    <row r="11" customFormat="false" ht="15" hidden="false" customHeight="false" outlineLevel="0" collapsed="false">
      <c r="B11" s="5" t="s">
        <v>261</v>
      </c>
      <c r="C11" s="11" t="n">
        <f aca="false">SUMPRODUCT((YEAR(CF_자금판!$E$6:$AH$6)=C$5)*CF_자금판!$E$29:$AH$29)</f>
        <v>-762.8</v>
      </c>
      <c r="D11" s="11" t="n">
        <f aca="false">SUMPRODUCT((YEAR(CF_자금판!$E$6:$AH$6)=D$5)*CF_자금판!$E$29:$AH$29)</f>
        <v>-3051.2</v>
      </c>
      <c r="E11" s="11" t="n">
        <f aca="false">SUMPRODUCT((YEAR(CF_자금판!$E$6:$AH$6)=E$5)*CF_자금판!$E$29:$AH$29)</f>
        <v>0</v>
      </c>
      <c r="F11" s="43" t="n">
        <f aca="false">SUM(C11:E11)</f>
        <v>-3814</v>
      </c>
      <c r="G11" s="7"/>
    </row>
    <row r="12" customFormat="false" ht="15" hidden="false" customHeight="false" outlineLevel="0" collapsed="false">
      <c r="B12" s="5" t="s">
        <v>287</v>
      </c>
      <c r="C12" s="11" t="n">
        <f aca="false">(SUMPRODUCT((YEAR(CF_자금판!$E$6:$AH$6)=C$5)*CF_자금판!$E$12:$AH$12)+SUMPRODUCT((YEAR(CF_자금판!$E$6:$AH$6)=C$5)*CF_자금판!$E$13:$AH$13))</f>
        <v>-611.78935</v>
      </c>
      <c r="D12" s="11" t="n">
        <f aca="false">(SUMPRODUCT((YEAR(CF_자금판!$E$6:$AH$6)=D$5)*CF_자금판!$E$12:$AH$12)+SUMPRODUCT((YEAR(CF_자금판!$E$6:$AH$6)=D$5)*CF_자금판!$E$13:$AH$13))</f>
        <v>-1223.5787</v>
      </c>
      <c r="E12" s="11" t="n">
        <f aca="false">(SUMPRODUCT((YEAR(CF_자금판!$E$6:$AH$6)=E$5)*CF_자금판!$E$12:$AH$12)+SUMPRODUCT((YEAR(CF_자금판!$E$6:$AH$6)=E$5)*CF_자금판!$E$13:$AH$13))</f>
        <v>-1223.5787</v>
      </c>
      <c r="F12" s="43" t="n">
        <f aca="false">SUM(C12:E12)</f>
        <v>-3058.94675</v>
      </c>
      <c r="G12" s="7"/>
    </row>
    <row r="13" customFormat="false" ht="15" hidden="false" customHeight="false" outlineLevel="0" collapsed="false">
      <c r="B13" s="5" t="s">
        <v>288</v>
      </c>
      <c r="C13" s="11" t="n">
        <f aca="false">SUMPRODUCT((YEAR(CF_자금판!$E$6:$AH$6)=C$5)*CF_자금판!$E$14:$AH$14)</f>
        <v>-726.64461</v>
      </c>
      <c r="D13" s="11" t="n">
        <f aca="false">SUMPRODUCT((YEAR(CF_자금판!$E$6:$AH$6)=D$5)*CF_자금판!$E$14:$AH$14)</f>
        <v>-1792.39004</v>
      </c>
      <c r="E13" s="11" t="n">
        <f aca="false">SUMPRODUCT((YEAR(CF_자금판!$E$6:$AH$6)=E$5)*CF_자금판!$E$14:$AH$14)</f>
        <v>-1792.39004</v>
      </c>
      <c r="F13" s="43" t="n">
        <f aca="false">SUM(C13:E13)</f>
        <v>-4311.42469</v>
      </c>
      <c r="G13" s="7" t="s">
        <v>289</v>
      </c>
    </row>
    <row r="14" customFormat="false" ht="15" hidden="false" customHeight="false" outlineLevel="0" collapsed="false">
      <c r="B14" s="5" t="s">
        <v>290</v>
      </c>
      <c r="C14" s="11" t="n">
        <f aca="false">SUMPRODUCT((YEAR(CF_자금판!$E$6:$AH$6)=C$5)*CF_자금판!$E$15:$AH$15)</f>
        <v>0</v>
      </c>
      <c r="D14" s="11" t="n">
        <f aca="false">SUMPRODUCT((YEAR(CF_자금판!$E$6:$AH$6)=D$5)*CF_자금판!$E$15:$AH$15)</f>
        <v>-1000</v>
      </c>
      <c r="E14" s="11" t="n">
        <f aca="false">SUMPRODUCT((YEAR(CF_자금판!$E$6:$AH$6)=E$5)*CF_자금판!$E$15:$AH$15)</f>
        <v>-600</v>
      </c>
      <c r="F14" s="43" t="n">
        <f aca="false">SUM(C14:E14)</f>
        <v>-1600</v>
      </c>
      <c r="G14" s="7"/>
    </row>
    <row r="15" customFormat="false" ht="15" hidden="false" customHeight="false" outlineLevel="0" collapsed="false">
      <c r="B15" s="5" t="s">
        <v>291</v>
      </c>
      <c r="C15" s="11" t="n">
        <f aca="false">SUMPRODUCT((YEAR(CF_자금판!$E$6:$AH$6)=C$5)*CF_자금판!$E$17:$AH$17)-SUMPRODUCT((YEAR(CF_자금판!$E$6:$AH$6)=C$5)*CF_자금판!$E$16:$AH$16)</f>
        <v>0</v>
      </c>
      <c r="D15" s="11" t="n">
        <f aca="false">SUMPRODUCT((YEAR(CF_자금판!$E$6:$AH$6)=D$5)*CF_자금판!$E$17:$AH$17)-SUMPRODUCT((YEAR(CF_자금판!$E$6:$AH$6)=D$5)*CF_자금판!$E$16:$AH$16)</f>
        <v>0</v>
      </c>
      <c r="E15" s="11" t="n">
        <f aca="false">SUMPRODUCT((YEAR(CF_자금판!$E$6:$AH$6)=E$5)*CF_자금판!$E$17:$AH$17)-SUMPRODUCT((YEAR(CF_자금판!$E$6:$AH$6)=E$5)*CF_자금판!$E$16:$AH$16)</f>
        <v>0</v>
      </c>
      <c r="F15" s="43" t="n">
        <f aca="false">SUM(C15:E15)</f>
        <v>0</v>
      </c>
      <c r="G15" s="7" t="s">
        <v>292</v>
      </c>
    </row>
    <row r="16" customFormat="false" ht="15" hidden="false" customHeight="false" outlineLevel="0" collapsed="false">
      <c r="B16" s="19" t="s">
        <v>263</v>
      </c>
      <c r="C16" s="21" t="n">
        <f aca="false">SUMPRODUCT((YEAR(CF_자금판!$E$6:$AH$6)=C$5)*CF_자금판!$E$31:$AH$31)</f>
        <v>-425.35975</v>
      </c>
      <c r="D16" s="21" t="n">
        <f aca="false">SUMPRODUCT((YEAR(CF_자금판!$E$6:$AH$6)=D$5)*CF_자금판!$E$31:$AH$31)</f>
        <v>-3715.42032</v>
      </c>
      <c r="E16" s="21" t="n">
        <f aca="false">SUMPRODUCT((YEAR(CF_자금판!$E$6:$AH$6)=E$5)*CF_자금판!$E$31:$AH$31)</f>
        <v>-264.22032</v>
      </c>
      <c r="F16" s="43" t="n">
        <f aca="false">SUM(C16:E16)</f>
        <v>-4405.00039</v>
      </c>
      <c r="G16" s="7"/>
    </row>
    <row r="17" customFormat="false" ht="15" hidden="false" customHeight="false" outlineLevel="0" collapsed="false">
      <c r="B17" s="5" t="s">
        <v>293</v>
      </c>
      <c r="C17" s="11" t="n">
        <f aca="false">SUMPRODUCT((YEAR(CF_자금판!$E$6:$AH$6)=C$5)*CF_자금판!$E$38:$AH$38)</f>
        <v>0</v>
      </c>
      <c r="D17" s="11" t="n">
        <f aca="false">SUMPRODUCT((YEAR(CF_자금판!$E$6:$AH$6)=D$5)*CF_자금판!$E$38:$AH$38)</f>
        <v>0</v>
      </c>
      <c r="E17" s="11" t="n">
        <f aca="false">SUMPRODUCT((YEAR(CF_자금판!$E$6:$AH$6)=E$5)*CF_자금판!$E$38:$AH$38)</f>
        <v>0</v>
      </c>
      <c r="F17" s="43" t="n">
        <f aca="false">SUM(C17:E17)</f>
        <v>0</v>
      </c>
      <c r="G17" s="7"/>
    </row>
    <row r="18" customFormat="false" ht="15" hidden="false" customHeight="false" outlineLevel="0" collapsed="false">
      <c r="B18" s="5" t="s">
        <v>294</v>
      </c>
      <c r="C18" s="11" t="n">
        <f aca="false">-(SUMPRODUCT((YEAR(CF_자금판!$E$6:$AH$6)=C$5)*CF_자금판!$E$41:$AH$41))</f>
        <v>-0</v>
      </c>
      <c r="D18" s="11" t="n">
        <f aca="false">-(SUMPRODUCT((YEAR(CF_자금판!$E$6:$AH$6)=D$5)*CF_자금판!$E$41:$AH$41))</f>
        <v>-0</v>
      </c>
      <c r="E18" s="11" t="n">
        <f aca="false">-(SUMPRODUCT((YEAR(CF_자금판!$E$6:$AH$6)=E$5)*CF_자금판!$E$41:$AH$41))</f>
        <v>-0</v>
      </c>
      <c r="F18" s="43" t="n">
        <f aca="false">SUM(C18:E18)</f>
        <v>0</v>
      </c>
      <c r="G18" s="7"/>
    </row>
    <row r="19" customFormat="false" ht="15" hidden="false" customHeight="false" outlineLevel="0" collapsed="false">
      <c r="B19" s="5" t="s">
        <v>295</v>
      </c>
      <c r="C19" s="11" t="n">
        <f aca="false">-(SUMPRODUCT((YEAR(CF_자금판!$E$6:$AH$6)=C$5)*CF_자금판!$E$45:$AH$45))</f>
        <v>-9.58561643835617</v>
      </c>
      <c r="D19" s="11" t="n">
        <f aca="false">-(SUMPRODUCT((YEAR(CF_자금판!$E$6:$AH$6)=D$5)*CF_자금판!$E$45:$AH$45))</f>
        <v>-11.25</v>
      </c>
      <c r="E19" s="11" t="n">
        <f aca="false">-(SUMPRODUCT((YEAR(CF_자금판!$E$6:$AH$6)=E$5)*CF_자금판!$E$45:$AH$45))</f>
        <v>-8.44520547945206</v>
      </c>
      <c r="F19" s="43" t="n">
        <f aca="false">SUM(C19:E19)</f>
        <v>-29.2808219178082</v>
      </c>
      <c r="G19" s="7" t="s">
        <v>296</v>
      </c>
    </row>
    <row r="20" customFormat="false" ht="15" hidden="false" customHeight="false" outlineLevel="0" collapsed="false">
      <c r="B20" s="19" t="s">
        <v>297</v>
      </c>
      <c r="C20" s="21" t="n">
        <f aca="false">INDEX(CF_자금판!$E$43:$AH$43,MATCH(DATE(C$5,12,31),CF_자금판!$E$6:$AH$6,0))</f>
        <v>13609.8610735616</v>
      </c>
      <c r="D20" s="21" t="n">
        <f aca="false">INDEX(CF_자금판!$E$43:$AH$43,MATCH(DATE(D$5,12,31),CF_자금판!$E$6:$AH$6,0))</f>
        <v>9883.19075356163</v>
      </c>
      <c r="E20" s="21" t="n">
        <f aca="false">INDEX(CF_자금판!$E$43:$AH$43,MATCH(DATE(E$5,12,31),CF_자금판!$E$6:$AH$6,0))</f>
        <v>9610.52522808217</v>
      </c>
      <c r="F20" s="43" t="n">
        <f aca="false">E20</f>
        <v>9610.52522808217</v>
      </c>
      <c r="G20" s="7"/>
    </row>
    <row r="21" customFormat="false" ht="15" hidden="false" customHeight="false" outlineLevel="0" collapsed="false">
      <c r="B21" s="19" t="s">
        <v>272</v>
      </c>
      <c r="C21" s="21" t="n">
        <f aca="false">INDEX(CF_자금판!$E$42:$AH$42,MATCH(DATE(C$5,12,31),CF_자금판!$E$6:$AH$6,0))</f>
        <v>0</v>
      </c>
      <c r="D21" s="21" t="n">
        <f aca="false">INDEX(CF_자금판!$E$42:$AH$42,MATCH(DATE(D$5,12,31),CF_자금판!$E$6:$AH$6,0))</f>
        <v>0</v>
      </c>
      <c r="E21" s="21" t="n">
        <f aca="false">INDEX(CF_자금판!$E$42:$AH$42,MATCH(DATE(E$5,12,31),CF_자금판!$E$6:$AH$6,0))</f>
        <v>0</v>
      </c>
      <c r="F21" s="43" t="n">
        <f aca="false">E21</f>
        <v>0</v>
      </c>
      <c r="G21" s="7"/>
    </row>
    <row r="22" customFormat="false" ht="15" hidden="false" customHeight="false" outlineLevel="0" collapsed="false">
      <c r="B22" s="8" t="s">
        <v>298</v>
      </c>
      <c r="C22" s="50" t="n">
        <f aca="false">_xlfn.MINIFS(CF_자금판!$E$43:$AH$43,CF_자금판!$E$6:$AH$6,"&gt;="&amp;DATE(C$5,1,1),CF_자금판!$E$6:$AH$6,"&lt;="&amp;DATE(C$5,12,31))</f>
        <v>13257.0462572146</v>
      </c>
      <c r="D22" s="50" t="n">
        <f aca="false">_xlfn.MINIFS(CF_자금판!$E$43:$AH$43,CF_자금판!$E$6:$AH$6,"&gt;="&amp;DATE(D$5,1,1),CF_자금판!$E$6:$AH$6,"&lt;="&amp;DATE(D$5,12,31))</f>
        <v>9353.98393999999</v>
      </c>
      <c r="E22" s="50" t="n">
        <f aca="false">_xlfn.MINIFS(CF_자금판!$E$43:$AH$43,CF_자금판!$E$6:$AH$6,"&gt;="&amp;DATE(E$5,1,1),CF_자금판!$E$6:$AH$6,"&lt;="&amp;DATE(E$5,12,31))</f>
        <v>8923.1057781735</v>
      </c>
      <c r="F22" s="50" t="n">
        <f aca="false">MIN(C22:E22)</f>
        <v>8923.1057781735</v>
      </c>
      <c r="G22" s="7"/>
    </row>
    <row r="24" customFormat="false" ht="17.15" hidden="false" customHeight="false" outlineLevel="0" collapsed="false">
      <c r="B24" s="3" t="s">
        <v>299</v>
      </c>
    </row>
    <row r="25" customFormat="false" ht="15" hidden="false" customHeight="false" outlineLevel="0" collapsed="false">
      <c r="B25" s="4" t="s">
        <v>240</v>
      </c>
      <c r="C25" s="4" t="s">
        <v>284</v>
      </c>
      <c r="D25" s="4" t="s">
        <v>238</v>
      </c>
      <c r="E25" s="4" t="s">
        <v>239</v>
      </c>
      <c r="F25" s="4" t="s">
        <v>110</v>
      </c>
      <c r="G25" s="4" t="s">
        <v>6</v>
      </c>
    </row>
    <row r="26" customFormat="false" ht="15" hidden="false" customHeight="false" outlineLevel="0" collapsed="false">
      <c r="B26" s="5" t="s">
        <v>259</v>
      </c>
      <c r="C26" s="11" t="n">
        <f aca="false">SUMPRODUCT((YEAR(CF_자금판!$E$6:$AH$6)=C$5)*CF_자금판!$E$51:$AH$51)</f>
        <v>1508.286789</v>
      </c>
      <c r="D26" s="11" t="n">
        <f aca="false">SUMPRODUCT((YEAR(CF_자금판!$E$6:$AH$6)=D$5)*CF_자금판!$E$51:$AH$51)</f>
        <v>2681.398736</v>
      </c>
      <c r="E26" s="11" t="n">
        <f aca="false">SUMPRODUCT((YEAR(CF_자금판!$E$6:$AH$6)=E$5)*CF_자금판!$E$51:$AH$51)</f>
        <v>3351.74842</v>
      </c>
      <c r="F26" s="43" t="n">
        <f aca="false">SUM(C26:E26)</f>
        <v>7541.433945</v>
      </c>
      <c r="G26" s="7"/>
    </row>
    <row r="27" customFormat="false" ht="15" hidden="false" customHeight="false" outlineLevel="0" collapsed="false">
      <c r="B27" s="5" t="s">
        <v>285</v>
      </c>
      <c r="C27" s="11" t="n">
        <f aca="false">SUMPRODUCT((YEAR(CF_자금판!$E$6:$AH$6)=C$5)*CF_자금판!$E$52:$AH$52)</f>
        <v>-1492.95095890411</v>
      </c>
      <c r="D27" s="11" t="n">
        <f aca="false">SUMPRODUCT((YEAR(CF_자금판!$E$6:$AH$6)=D$5)*CF_자금판!$E$52:$AH$52)</f>
        <v>-2985.90191780822</v>
      </c>
      <c r="E27" s="11" t="n">
        <f aca="false">SUMPRODUCT((YEAR(CF_자금판!$E$6:$AH$6)=E$5)*CF_자금판!$E$52:$AH$52)</f>
        <v>4478.85287671233</v>
      </c>
      <c r="F27" s="43" t="n">
        <f aca="false">SUM(C27:E27)</f>
        <v>0</v>
      </c>
      <c r="G27" s="7" t="s">
        <v>286</v>
      </c>
    </row>
    <row r="28" customFormat="false" ht="15" hidden="false" customHeight="false" outlineLevel="0" collapsed="false">
      <c r="B28" s="5" t="s">
        <v>261</v>
      </c>
      <c r="C28" s="11" t="n">
        <f aca="false">SUMPRODUCT((YEAR(CF_자금판!$E$6:$AH$6)=C$5)*CF_자금판!$E$53:$AH$53)</f>
        <v>-839.08</v>
      </c>
      <c r="D28" s="11" t="n">
        <f aca="false">SUMPRODUCT((YEAR(CF_자금판!$E$6:$AH$6)=D$5)*CF_자금판!$E$53:$AH$53)</f>
        <v>-3356.32</v>
      </c>
      <c r="E28" s="11" t="n">
        <f aca="false">SUMPRODUCT((YEAR(CF_자금판!$E$6:$AH$6)=E$5)*CF_자금판!$E$53:$AH$53)</f>
        <v>0</v>
      </c>
      <c r="F28" s="43" t="n">
        <f aca="false">SUM(C28:E28)</f>
        <v>-4195.4</v>
      </c>
      <c r="G28" s="7"/>
    </row>
    <row r="29" customFormat="false" ht="15" hidden="false" customHeight="false" outlineLevel="0" collapsed="false">
      <c r="B29" s="5" t="s">
        <v>287</v>
      </c>
      <c r="C29" s="11" t="n">
        <f aca="false">(SUMPRODUCT((YEAR(CF_자금판!$E$6:$AH$6)=C$5)*CF_자금판!$E$12:$AH$12)+SUMPRODUCT((YEAR(CF_자금판!$E$6:$AH$6)=C$5)*CF_자금판!$E$13:$AH$13))</f>
        <v>-611.78935</v>
      </c>
      <c r="D29" s="11" t="n">
        <f aca="false">(SUMPRODUCT((YEAR(CF_자금판!$E$6:$AH$6)=D$5)*CF_자금판!$E$12:$AH$12)+SUMPRODUCT((YEAR(CF_자금판!$E$6:$AH$6)=D$5)*CF_자금판!$E$13:$AH$13))</f>
        <v>-1223.5787</v>
      </c>
      <c r="E29" s="11" t="n">
        <f aca="false">(SUMPRODUCT((YEAR(CF_자금판!$E$6:$AH$6)=E$5)*CF_자금판!$E$12:$AH$12)+SUMPRODUCT((YEAR(CF_자금판!$E$6:$AH$6)=E$5)*CF_자금판!$E$13:$AH$13))</f>
        <v>-1223.5787</v>
      </c>
      <c r="F29" s="43" t="n">
        <f aca="false">SUM(C29:E29)</f>
        <v>-3058.94675</v>
      </c>
      <c r="G29" s="7"/>
    </row>
    <row r="30" customFormat="false" ht="15" hidden="false" customHeight="false" outlineLevel="0" collapsed="false">
      <c r="B30" s="5" t="s">
        <v>288</v>
      </c>
      <c r="C30" s="11" t="n">
        <f aca="false">SUMPRODUCT((YEAR(CF_자금판!$E$6:$AH$6)=C$5)*CF_자금판!$E$14:$AH$14)</f>
        <v>-726.64461</v>
      </c>
      <c r="D30" s="11" t="n">
        <f aca="false">SUMPRODUCT((YEAR(CF_자금판!$E$6:$AH$6)=D$5)*CF_자금판!$E$14:$AH$14)</f>
        <v>-1792.39004</v>
      </c>
      <c r="E30" s="11" t="n">
        <f aca="false">SUMPRODUCT((YEAR(CF_자금판!$E$6:$AH$6)=E$5)*CF_자금판!$E$14:$AH$14)</f>
        <v>-1792.39004</v>
      </c>
      <c r="F30" s="43" t="n">
        <f aca="false">SUM(C30:E30)</f>
        <v>-4311.42469</v>
      </c>
      <c r="G30" s="7" t="s">
        <v>289</v>
      </c>
    </row>
    <row r="31" customFormat="false" ht="15" hidden="false" customHeight="false" outlineLevel="0" collapsed="false">
      <c r="B31" s="5" t="s">
        <v>290</v>
      </c>
      <c r="C31" s="11" t="n">
        <f aca="false">SUMPRODUCT((YEAR(CF_자금판!$E$6:$AH$6)=C$5)*CF_자금판!$E$15:$AH$15)</f>
        <v>0</v>
      </c>
      <c r="D31" s="11" t="n">
        <f aca="false">SUMPRODUCT((YEAR(CF_자금판!$E$6:$AH$6)=D$5)*CF_자금판!$E$15:$AH$15)</f>
        <v>-1000</v>
      </c>
      <c r="E31" s="11" t="n">
        <f aca="false">SUMPRODUCT((YEAR(CF_자금판!$E$6:$AH$6)=E$5)*CF_자금판!$E$15:$AH$15)</f>
        <v>-600</v>
      </c>
      <c r="F31" s="43" t="n">
        <f aca="false">SUM(C31:E31)</f>
        <v>-1600</v>
      </c>
      <c r="G31" s="7"/>
    </row>
    <row r="32" customFormat="false" ht="15" hidden="false" customHeight="false" outlineLevel="0" collapsed="false">
      <c r="B32" s="5" t="s">
        <v>291</v>
      </c>
      <c r="C32" s="11" t="n">
        <f aca="false">SUMPRODUCT((YEAR(CF_자금판!$E$6:$AH$6)=C$5)*CF_자금판!$E$17:$AH$17)-SUMPRODUCT((YEAR(CF_자금판!$E$6:$AH$6)=C$5)*CF_자금판!$E$16:$AH$16)</f>
        <v>0</v>
      </c>
      <c r="D32" s="11" t="n">
        <f aca="false">SUMPRODUCT((YEAR(CF_자금판!$E$6:$AH$6)=D$5)*CF_자금판!$E$17:$AH$17)-SUMPRODUCT((YEAR(CF_자금판!$E$6:$AH$6)=D$5)*CF_자금판!$E$16:$AH$16)</f>
        <v>0</v>
      </c>
      <c r="E32" s="11" t="n">
        <f aca="false">SUMPRODUCT((YEAR(CF_자금판!$E$6:$AH$6)=E$5)*CF_자금판!$E$17:$AH$17)-SUMPRODUCT((YEAR(CF_자금판!$E$6:$AH$6)=E$5)*CF_자금판!$E$16:$AH$16)</f>
        <v>0</v>
      </c>
      <c r="F32" s="43" t="n">
        <f aca="false">SUM(C32:E32)</f>
        <v>0</v>
      </c>
      <c r="G32" s="7" t="s">
        <v>292</v>
      </c>
    </row>
    <row r="33" customFormat="false" ht="15" hidden="false" customHeight="false" outlineLevel="0" collapsed="false">
      <c r="B33" s="19" t="s">
        <v>263</v>
      </c>
      <c r="C33" s="21" t="n">
        <f aca="false">SUMPRODUCT((YEAR(CF_자금판!$E$6:$AH$6)=C$5)*CF_자금판!$E$55:$AH$55)</f>
        <v>-2162.17812990411</v>
      </c>
      <c r="D33" s="21" t="n">
        <f aca="false">SUMPRODUCT((YEAR(CF_자금판!$E$6:$AH$6)=D$5)*CF_자금판!$E$55:$AH$55)</f>
        <v>-7676.79192180822</v>
      </c>
      <c r="E33" s="21" t="n">
        <f aca="false">SUMPRODUCT((YEAR(CF_자금판!$E$6:$AH$6)=E$5)*CF_자금판!$E$55:$AH$55)</f>
        <v>4214.63255671233</v>
      </c>
      <c r="F33" s="43" t="n">
        <f aca="false">SUM(C33:E33)</f>
        <v>-5624.337495</v>
      </c>
      <c r="G33" s="7"/>
    </row>
    <row r="34" customFormat="false" ht="15" hidden="false" customHeight="false" outlineLevel="0" collapsed="false">
      <c r="B34" s="5" t="s">
        <v>293</v>
      </c>
      <c r="C34" s="11" t="n">
        <f aca="false">SUMPRODUCT((YEAR(CF_자금판!$E$6:$AH$6)=C$5)*CF_자금판!$E$62:$AH$62)</f>
        <v>0</v>
      </c>
      <c r="D34" s="11" t="n">
        <f aca="false">SUMPRODUCT((YEAR(CF_자금판!$E$6:$AH$6)=D$5)*CF_자금판!$E$62:$AH$62)</f>
        <v>4050.22294660525</v>
      </c>
      <c r="E34" s="11" t="n">
        <f aca="false">SUMPRODUCT((YEAR(CF_자금판!$E$6:$AH$6)=E$5)*CF_자금판!$E$62:$AH$62)</f>
        <v>147.755712925446</v>
      </c>
      <c r="F34" s="43" t="n">
        <f aca="false">SUM(C34:E34)</f>
        <v>4197.9786595307</v>
      </c>
      <c r="G34" s="7"/>
    </row>
    <row r="35" customFormat="false" ht="15" hidden="false" customHeight="false" outlineLevel="0" collapsed="false">
      <c r="B35" s="5" t="s">
        <v>294</v>
      </c>
      <c r="C35" s="11" t="n">
        <f aca="false">-(SUMPRODUCT((YEAR(CF_자금판!$E$6:$AH$6)=C$5)*CF_자금판!$E$65:$AH$65))</f>
        <v>-0</v>
      </c>
      <c r="D35" s="11" t="n">
        <f aca="false">-(SUMPRODUCT((YEAR(CF_자금판!$E$6:$AH$6)=D$5)*CF_자금판!$E$65:$AH$65))</f>
        <v>-542.943311596731</v>
      </c>
      <c r="E35" s="11" t="n">
        <f aca="false">-(SUMPRODUCT((YEAR(CF_자금판!$E$6:$AH$6)=E$5)*CF_자금판!$E$65:$AH$65))</f>
        <v>-3655.03534793397</v>
      </c>
      <c r="F35" s="43" t="n">
        <f aca="false">SUM(C35:E35)</f>
        <v>-4197.9786595307</v>
      </c>
      <c r="G35" s="7"/>
    </row>
    <row r="36" customFormat="false" ht="15" hidden="false" customHeight="false" outlineLevel="0" collapsed="false">
      <c r="B36" s="5" t="s">
        <v>295</v>
      </c>
      <c r="C36" s="11" t="n">
        <f aca="false">-(SUMPRODUCT((YEAR(CF_자금판!$E$6:$AH$6)=C$5)*CF_자금판!$E$69:$AH$69))</f>
        <v>-9.58561643835617</v>
      </c>
      <c r="D36" s="11" t="n">
        <f aca="false">-(SUMPRODUCT((YEAR(CF_자금판!$E$6:$AH$6)=D$5)*CF_자금판!$E$69:$AH$69))</f>
        <v>-97.7395535244955</v>
      </c>
      <c r="E36" s="11" t="n">
        <f aca="false">-(SUMPRODUCT((YEAR(CF_자금판!$E$6:$AH$6)=E$5)*CF_자금판!$E$69:$AH$69))</f>
        <v>-45.9095540961648</v>
      </c>
      <c r="F36" s="43" t="n">
        <f aca="false">SUM(C36:E36)</f>
        <v>-153.234724059017</v>
      </c>
      <c r="G36" s="7" t="s">
        <v>296</v>
      </c>
    </row>
    <row r="37" customFormat="false" ht="15" hidden="false" customHeight="false" outlineLevel="0" collapsed="false">
      <c r="B37" s="19" t="s">
        <v>297</v>
      </c>
      <c r="C37" s="21" t="n">
        <f aca="false">INDEX(CF_자금판!$E$67:$AH$67,MATCH(DATE(C$5,12,31),CF_자금판!$E$6:$AH$6,0))</f>
        <v>11873.0426936575</v>
      </c>
      <c r="D37" s="21" t="n">
        <f aca="false">INDEX(CF_자금판!$E$67:$AH$67,MATCH(DATE(D$5,12,31),CF_자금판!$E$6:$AH$6,0))</f>
        <v>7605.79085333333</v>
      </c>
      <c r="E37" s="21" t="n">
        <f aca="false">INDEX(CF_자금판!$E$67:$AH$67,MATCH(DATE(E$5,12,31),CF_자금판!$E$6:$AH$6,0))</f>
        <v>8267.23422094098</v>
      </c>
      <c r="F37" s="43" t="n">
        <f aca="false">E37</f>
        <v>8267.23422094098</v>
      </c>
      <c r="G37" s="7"/>
    </row>
    <row r="38" customFormat="false" ht="15" hidden="false" customHeight="false" outlineLevel="0" collapsed="false">
      <c r="B38" s="19" t="s">
        <v>272</v>
      </c>
      <c r="C38" s="21" t="n">
        <f aca="false">INDEX(CF_자금판!$E$66:$AH$66,MATCH(DATE(C$5,12,31),CF_자금판!$E$6:$AH$6,0))</f>
        <v>0</v>
      </c>
      <c r="D38" s="21" t="n">
        <f aca="false">INDEX(CF_자금판!$E$66:$AH$66,MATCH(DATE(D$5,12,31),CF_자금판!$E$6:$AH$6,0))</f>
        <v>3507.27963500852</v>
      </c>
      <c r="E38" s="21" t="n">
        <f aca="false">INDEX(CF_자금판!$E$66:$AH$66,MATCH(DATE(E$5,12,31),CF_자금판!$E$6:$AH$6,0))</f>
        <v>0</v>
      </c>
      <c r="F38" s="43" t="n">
        <f aca="false">E38</f>
        <v>0</v>
      </c>
      <c r="G38" s="7"/>
    </row>
    <row r="39" customFormat="false" ht="15" hidden="false" customHeight="false" outlineLevel="0" collapsed="false">
      <c r="B39" s="8" t="s">
        <v>298</v>
      </c>
      <c r="C39" s="50" t="n">
        <f aca="false">_xlfn.MINIFS(CF_자금판!$E$67:$AH$67,CF_자금판!$E$6:$AH$6,"&gt;="&amp;DATE(C$5,1,1),CF_자금판!$E$6:$AH$6,"&lt;="&amp;DATE(C$5,12,31))</f>
        <v>11873.0426936575</v>
      </c>
      <c r="D39" s="50" t="n">
        <f aca="false">_xlfn.MINIFS(CF_자금판!$E$67:$AH$67,CF_자금판!$E$6:$AH$6,"&gt;="&amp;DATE(D$5,1,1),CF_자금판!$E$6:$AH$6,"&lt;="&amp;DATE(D$5,12,31))</f>
        <v>7605.79085333333</v>
      </c>
      <c r="E39" s="50" t="n">
        <f aca="false">_xlfn.MINIFS(CF_자금판!$E$67:$AH$67,CF_자금판!$E$6:$AH$6,"&gt;="&amp;DATE(E$5,1,1),CF_자금판!$E$6:$AH$6,"&lt;="&amp;DATE(E$5,12,31))</f>
        <v>7605.79085333333</v>
      </c>
      <c r="F39" s="50" t="n">
        <f aca="false">MIN(C39:E39)</f>
        <v>7605.79085333333</v>
      </c>
      <c r="G39" s="7"/>
    </row>
    <row r="41" customFormat="false" ht="17.15" hidden="false" customHeight="false" outlineLevel="0" collapsed="false">
      <c r="B41" s="3" t="s">
        <v>300</v>
      </c>
    </row>
    <row r="42" customFormat="false" ht="15" hidden="false" customHeight="false" outlineLevel="0" collapsed="false">
      <c r="B42" s="4" t="s">
        <v>240</v>
      </c>
      <c r="C42" s="4" t="s">
        <v>284</v>
      </c>
      <c r="D42" s="4" t="s">
        <v>238</v>
      </c>
      <c r="E42" s="4" t="s">
        <v>239</v>
      </c>
      <c r="F42" s="4" t="s">
        <v>110</v>
      </c>
      <c r="G42" s="4" t="s">
        <v>6</v>
      </c>
    </row>
    <row r="43" customFormat="false" ht="15" hidden="false" customHeight="false" outlineLevel="0" collapsed="false">
      <c r="B43" s="5" t="s">
        <v>259</v>
      </c>
      <c r="C43" s="11" t="n">
        <f aca="false">SUMPRODUCT((YEAR(CF_자금판!$E$6:$AH$6)=C$5)*CF_자금판!$E$75:$AH$75)</f>
        <v>1340.699368</v>
      </c>
      <c r="D43" s="11" t="n">
        <f aca="false">SUMPRODUCT((YEAR(CF_자금판!$E$6:$AH$6)=D$5)*CF_자금판!$E$75:$AH$75)</f>
        <v>2011.049052</v>
      </c>
      <c r="E43" s="11" t="n">
        <f aca="false">SUMPRODUCT((YEAR(CF_자금판!$E$6:$AH$6)=E$5)*CF_자금판!$E$75:$AH$75)</f>
        <v>2011.049052</v>
      </c>
      <c r="F43" s="43" t="n">
        <f aca="false">SUM(C43:E43)</f>
        <v>5362.797472</v>
      </c>
      <c r="G43" s="7"/>
    </row>
    <row r="44" customFormat="false" ht="15" hidden="false" customHeight="false" outlineLevel="0" collapsed="false">
      <c r="B44" s="5" t="s">
        <v>285</v>
      </c>
      <c r="C44" s="11" t="n">
        <f aca="false">SUMPRODUCT((YEAR(CF_자금판!$E$6:$AH$6)=C$5)*CF_자금판!$E$76:$AH$76)</f>
        <v>-2985.90191780822</v>
      </c>
      <c r="D44" s="11" t="n">
        <f aca="false">SUMPRODUCT((YEAR(CF_자금판!$E$6:$AH$6)=D$5)*CF_자금판!$E$76:$AH$76)</f>
        <v>-5971.80383561644</v>
      </c>
      <c r="E44" s="11" t="n">
        <f aca="false">SUMPRODUCT((YEAR(CF_자금판!$E$6:$AH$6)=E$5)*CF_자금판!$E$76:$AH$76)</f>
        <v>0</v>
      </c>
      <c r="F44" s="43" t="n">
        <f aca="false">SUM(C44:E44)</f>
        <v>-8957.70575342466</v>
      </c>
      <c r="G44" s="7" t="s">
        <v>286</v>
      </c>
    </row>
    <row r="45" customFormat="false" ht="15" hidden="false" customHeight="false" outlineLevel="0" collapsed="false">
      <c r="B45" s="5" t="s">
        <v>261</v>
      </c>
      <c r="C45" s="11" t="n">
        <f aca="false">SUMPRODUCT((YEAR(CF_자금판!$E$6:$AH$6)=C$5)*CF_자금판!$E$77:$AH$77)</f>
        <v>-915.36</v>
      </c>
      <c r="D45" s="11" t="n">
        <f aca="false">SUMPRODUCT((YEAR(CF_자금판!$E$6:$AH$6)=D$5)*CF_자금판!$E$77:$AH$77)</f>
        <v>-3661.44</v>
      </c>
      <c r="E45" s="11" t="n">
        <f aca="false">SUMPRODUCT((YEAR(CF_자금판!$E$6:$AH$6)=E$5)*CF_자금판!$E$77:$AH$77)</f>
        <v>0</v>
      </c>
      <c r="F45" s="43" t="n">
        <f aca="false">SUM(C45:E45)</f>
        <v>-4576.8</v>
      </c>
      <c r="G45" s="7"/>
    </row>
    <row r="46" customFormat="false" ht="15" hidden="false" customHeight="false" outlineLevel="0" collapsed="false">
      <c r="B46" s="5" t="s">
        <v>287</v>
      </c>
      <c r="C46" s="11" t="n">
        <f aca="false">(SUMPRODUCT((YEAR(CF_자금판!$E$6:$AH$6)=C$5)*CF_자금판!$E$12:$AH$12)+SUMPRODUCT((YEAR(CF_자금판!$E$6:$AH$6)=C$5)*CF_자금판!$E$13:$AH$13))</f>
        <v>-611.78935</v>
      </c>
      <c r="D46" s="11" t="n">
        <f aca="false">(SUMPRODUCT((YEAR(CF_자금판!$E$6:$AH$6)=D$5)*CF_자금판!$E$12:$AH$12)+SUMPRODUCT((YEAR(CF_자금판!$E$6:$AH$6)=D$5)*CF_자금판!$E$13:$AH$13))</f>
        <v>-1223.5787</v>
      </c>
      <c r="E46" s="11" t="n">
        <f aca="false">(SUMPRODUCT((YEAR(CF_자금판!$E$6:$AH$6)=E$5)*CF_자금판!$E$12:$AH$12)+SUMPRODUCT((YEAR(CF_자금판!$E$6:$AH$6)=E$5)*CF_자금판!$E$13:$AH$13))</f>
        <v>-1223.5787</v>
      </c>
      <c r="F46" s="43" t="n">
        <f aca="false">SUM(C46:E46)</f>
        <v>-3058.94675</v>
      </c>
      <c r="G46" s="7"/>
    </row>
    <row r="47" customFormat="false" ht="15" hidden="false" customHeight="false" outlineLevel="0" collapsed="false">
      <c r="B47" s="5" t="s">
        <v>288</v>
      </c>
      <c r="C47" s="11" t="n">
        <f aca="false">SUMPRODUCT((YEAR(CF_자금판!$E$6:$AH$6)=C$5)*CF_자금판!$E$14:$AH$14)</f>
        <v>-726.64461</v>
      </c>
      <c r="D47" s="11" t="n">
        <f aca="false">SUMPRODUCT((YEAR(CF_자금판!$E$6:$AH$6)=D$5)*CF_자금판!$E$14:$AH$14)</f>
        <v>-1792.39004</v>
      </c>
      <c r="E47" s="11" t="n">
        <f aca="false">SUMPRODUCT((YEAR(CF_자금판!$E$6:$AH$6)=E$5)*CF_자금판!$E$14:$AH$14)</f>
        <v>-1792.39004</v>
      </c>
      <c r="F47" s="43" t="n">
        <f aca="false">SUM(C47:E47)</f>
        <v>-4311.42469</v>
      </c>
      <c r="G47" s="7" t="s">
        <v>289</v>
      </c>
    </row>
    <row r="48" customFormat="false" ht="15" hidden="false" customHeight="false" outlineLevel="0" collapsed="false">
      <c r="B48" s="5" t="s">
        <v>290</v>
      </c>
      <c r="C48" s="11" t="n">
        <f aca="false">SUMPRODUCT((YEAR(CF_자금판!$E$6:$AH$6)=C$5)*CF_자금판!$E$15:$AH$15)</f>
        <v>0</v>
      </c>
      <c r="D48" s="11" t="n">
        <f aca="false">SUMPRODUCT((YEAR(CF_자금판!$E$6:$AH$6)=D$5)*CF_자금판!$E$15:$AH$15)</f>
        <v>-1000</v>
      </c>
      <c r="E48" s="11" t="n">
        <f aca="false">SUMPRODUCT((YEAR(CF_자금판!$E$6:$AH$6)=E$5)*CF_자금판!$E$15:$AH$15)</f>
        <v>-600</v>
      </c>
      <c r="F48" s="43" t="n">
        <f aca="false">SUM(C48:E48)</f>
        <v>-1600</v>
      </c>
      <c r="G48" s="7"/>
    </row>
    <row r="49" customFormat="false" ht="15" hidden="false" customHeight="false" outlineLevel="0" collapsed="false">
      <c r="B49" s="5" t="s">
        <v>291</v>
      </c>
      <c r="C49" s="11" t="n">
        <f aca="false">SUMPRODUCT((YEAR(CF_자금판!$E$6:$AH$6)=C$5)*CF_자금판!$E$17:$AH$17)-SUMPRODUCT((YEAR(CF_자금판!$E$6:$AH$6)=C$5)*CF_자금판!$E$16:$AH$16)</f>
        <v>0</v>
      </c>
      <c r="D49" s="11" t="n">
        <f aca="false">SUMPRODUCT((YEAR(CF_자금판!$E$6:$AH$6)=D$5)*CF_자금판!$E$17:$AH$17)-SUMPRODUCT((YEAR(CF_자금판!$E$6:$AH$6)=D$5)*CF_자금판!$E$16:$AH$16)</f>
        <v>0</v>
      </c>
      <c r="E49" s="11" t="n">
        <f aca="false">SUMPRODUCT((YEAR(CF_자금판!$E$6:$AH$6)=E$5)*CF_자금판!$E$17:$AH$17)-SUMPRODUCT((YEAR(CF_자금판!$E$6:$AH$6)=E$5)*CF_자금판!$E$16:$AH$16)</f>
        <v>0</v>
      </c>
      <c r="F49" s="43" t="n">
        <f aca="false">SUM(C49:E49)</f>
        <v>0</v>
      </c>
      <c r="G49" s="7" t="s">
        <v>292</v>
      </c>
    </row>
    <row r="50" customFormat="false" ht="15" hidden="false" customHeight="false" outlineLevel="0" collapsed="false">
      <c r="B50" s="19" t="s">
        <v>263</v>
      </c>
      <c r="C50" s="21" t="n">
        <f aca="false">SUMPRODUCT((YEAR(CF_자금판!$E$6:$AH$6)=C$5)*CF_자금판!$E$79:$AH$79)</f>
        <v>-3898.99650980822</v>
      </c>
      <c r="D50" s="21" t="n">
        <f aca="false">SUMPRODUCT((YEAR(CF_자금판!$E$6:$AH$6)=D$5)*CF_자금판!$E$79:$AH$79)</f>
        <v>-11638.1635236164</v>
      </c>
      <c r="E50" s="21" t="n">
        <f aca="false">SUMPRODUCT((YEAR(CF_자금판!$E$6:$AH$6)=E$5)*CF_자금판!$E$79:$AH$79)</f>
        <v>-1604.919688</v>
      </c>
      <c r="F50" s="43" t="n">
        <f aca="false">SUM(C50:E50)</f>
        <v>-17142.0797214247</v>
      </c>
      <c r="G50" s="7"/>
    </row>
    <row r="51" customFormat="false" ht="15" hidden="false" customHeight="false" outlineLevel="0" collapsed="false">
      <c r="B51" s="5" t="s">
        <v>293</v>
      </c>
      <c r="C51" s="11" t="n">
        <f aca="false">SUMPRODUCT((YEAR(CF_자금판!$E$6:$AH$6)=C$5)*CF_자금판!$E$86:$AH$86)</f>
        <v>0</v>
      </c>
      <c r="D51" s="11" t="n">
        <f aca="false">SUMPRODUCT((YEAR(CF_자금판!$E$6:$AH$6)=D$5)*CF_자금판!$E$86:$AH$86)</f>
        <v>4500</v>
      </c>
      <c r="E51" s="11" t="n">
        <f aca="false">SUMPRODUCT((YEAR(CF_자금판!$E$6:$AH$6)=E$5)*CF_자금판!$E$86:$AH$86)</f>
        <v>0</v>
      </c>
      <c r="F51" s="43" t="n">
        <f aca="false">SUM(C51:E51)</f>
        <v>4500</v>
      </c>
      <c r="G51" s="7"/>
    </row>
    <row r="52" customFormat="false" ht="15" hidden="false" customHeight="false" outlineLevel="0" collapsed="false">
      <c r="B52" s="5" t="s">
        <v>294</v>
      </c>
      <c r="C52" s="11" t="n">
        <f aca="false">-(SUMPRODUCT((YEAR(CF_자금판!$E$6:$AH$6)=C$5)*CF_자금판!$E$89:$AH$89))</f>
        <v>-0</v>
      </c>
      <c r="D52" s="11" t="n">
        <f aca="false">-(SUMPRODUCT((YEAR(CF_자금판!$E$6:$AH$6)=D$5)*CF_자금판!$E$89:$AH$89))</f>
        <v>-0</v>
      </c>
      <c r="E52" s="11" t="n">
        <f aca="false">-(SUMPRODUCT((YEAR(CF_자금판!$E$6:$AH$6)=E$5)*CF_자금판!$E$89:$AH$89))</f>
        <v>-4500</v>
      </c>
      <c r="F52" s="43" t="n">
        <f aca="false">SUM(C52:E52)</f>
        <v>-4500</v>
      </c>
      <c r="G52" s="7"/>
    </row>
    <row r="53" customFormat="false" ht="15" hidden="false" customHeight="false" outlineLevel="0" collapsed="false">
      <c r="B53" s="5" t="s">
        <v>295</v>
      </c>
      <c r="C53" s="11" t="n">
        <f aca="false">-(SUMPRODUCT((YEAR(CF_자금판!$E$6:$AH$6)=C$5)*CF_자금판!$E$93:$AH$93))</f>
        <v>-9.58561643835617</v>
      </c>
      <c r="D53" s="11" t="n">
        <f aca="false">-(SUMPRODUCT((YEAR(CF_자금판!$E$6:$AH$6)=D$5)*CF_자금판!$E$93:$AH$93))</f>
        <v>-147.907085674705</v>
      </c>
      <c r="E53" s="11" t="n">
        <f aca="false">-(SUMPRODUCT((YEAR(CF_자금판!$E$6:$AH$6)=E$5)*CF_자금판!$E$93:$AH$93))</f>
        <v>-141.879452054795</v>
      </c>
      <c r="F53" s="43" t="n">
        <f aca="false">SUM(C53:E53)</f>
        <v>-299.372154167856</v>
      </c>
      <c r="G53" s="7" t="s">
        <v>296</v>
      </c>
    </row>
    <row r="54" customFormat="false" ht="15" hidden="false" customHeight="false" outlineLevel="0" collapsed="false">
      <c r="B54" s="19" t="s">
        <v>297</v>
      </c>
      <c r="C54" s="21" t="n">
        <f aca="false">INDEX(CF_자금판!$E$91:$AH$91,MATCH(DATE(C$5,12,31),CF_자금판!$E$6:$AH$6,0))</f>
        <v>10136.2243137534</v>
      </c>
      <c r="D54" s="21" t="n">
        <f aca="false">INDEX(CF_자금판!$E$91:$AH$91,MATCH(DATE(D$5,12,31),CF_자금판!$E$6:$AH$6,0))</f>
        <v>2850.15370446228</v>
      </c>
      <c r="E54" s="21" t="n">
        <f aca="false">INDEX(CF_자금판!$E$91:$AH$91,MATCH(DATE(E$5,12,31),CF_자금판!$E$6:$AH$6,0))</f>
        <v>-3396.64543559252</v>
      </c>
      <c r="F54" s="43" t="n">
        <f aca="false">E54</f>
        <v>-3396.64543559252</v>
      </c>
      <c r="G54" s="7"/>
    </row>
    <row r="55" customFormat="false" ht="15" hidden="false" customHeight="false" outlineLevel="0" collapsed="false">
      <c r="B55" s="19" t="s">
        <v>272</v>
      </c>
      <c r="C55" s="21" t="n">
        <f aca="false">INDEX(CF_자금판!$E$90:$AH$90,MATCH(DATE(C$5,12,31),CF_자금판!$E$6:$AH$6,0))</f>
        <v>0</v>
      </c>
      <c r="D55" s="21" t="n">
        <f aca="false">INDEX(CF_자금판!$E$90:$AH$90,MATCH(DATE(D$5,12,31),CF_자금판!$E$6:$AH$6,0))</f>
        <v>4500</v>
      </c>
      <c r="E55" s="21" t="n">
        <f aca="false">INDEX(CF_자금판!$E$90:$AH$90,MATCH(DATE(E$5,12,31),CF_자금판!$E$6:$AH$6,0))</f>
        <v>0</v>
      </c>
      <c r="F55" s="43" t="n">
        <f aca="false">E55</f>
        <v>0</v>
      </c>
      <c r="G55" s="7"/>
    </row>
    <row r="56" customFormat="false" ht="15" hidden="false" customHeight="false" outlineLevel="0" collapsed="false">
      <c r="B56" s="8" t="s">
        <v>298</v>
      </c>
      <c r="C56" s="50" t="n">
        <f aca="false">_xlfn.MINIFS(CF_자금판!$E$91:$AH$91,CF_자금판!$E$6:$AH$6,"&gt;="&amp;DATE(C$5,1,1),CF_자금판!$E$6:$AH$6,"&lt;="&amp;DATE(C$5,12,31))</f>
        <v>10136.2243137534</v>
      </c>
      <c r="D56" s="50" t="n">
        <f aca="false">_xlfn.MINIFS(CF_자금판!$E$91:$AH$91,CF_자금판!$E$6:$AH$6,"&gt;="&amp;DATE(D$5,1,1),CF_자금판!$E$6:$AH$6,"&lt;="&amp;DATE(D$5,12,31))</f>
        <v>2700.92447262666</v>
      </c>
      <c r="E56" s="50" t="n">
        <f aca="false">_xlfn.MINIFS(CF_자금판!$E$91:$AH$91,CF_자금판!$E$6:$AH$6,"&gt;="&amp;DATE(E$5,1,1),CF_자금판!$E$6:$AH$6,"&lt;="&amp;DATE(E$5,12,31))</f>
        <v>-3593.51302359252</v>
      </c>
      <c r="F56" s="50" t="n">
        <f aca="false">MIN(C56:E56)</f>
        <v>-3593.51302359252</v>
      </c>
      <c r="G5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98989"/>
    <pageSetUpPr fitToPage="false"/>
  </sheetPr>
  <dimension ref="B2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34"/>
    <col collapsed="false" customWidth="true" hidden="false" outlineLevel="0" max="9" min="9" style="0" width="15"/>
  </cols>
  <sheetData>
    <row r="2" customFormat="false" ht="19.4" hidden="false" customHeight="false" outlineLevel="0" collapsed="false">
      <c r="B2" s="1" t="s">
        <v>301</v>
      </c>
    </row>
    <row r="3" customFormat="false" ht="15" hidden="false" customHeight="false" outlineLevel="0" collapsed="false">
      <c r="B3" s="2" t="s">
        <v>302</v>
      </c>
    </row>
    <row r="5" customFormat="false" ht="17.15" hidden="false" customHeight="false" outlineLevel="0" collapsed="false">
      <c r="B5" s="3" t="s">
        <v>303</v>
      </c>
    </row>
    <row r="6" customFormat="false" ht="15" hidden="false" customHeight="false" outlineLevel="0" collapsed="false">
      <c r="B6" s="4" t="s">
        <v>240</v>
      </c>
      <c r="C6" s="4" t="s">
        <v>304</v>
      </c>
      <c r="D6" s="4" t="s">
        <v>305</v>
      </c>
      <c r="E6" s="4" t="s">
        <v>306</v>
      </c>
      <c r="F6" s="4" t="s">
        <v>307</v>
      </c>
      <c r="G6" s="4" t="s">
        <v>308</v>
      </c>
      <c r="H6" s="4" t="s">
        <v>309</v>
      </c>
      <c r="I6" s="4" t="s">
        <v>310</v>
      </c>
    </row>
    <row r="7" customFormat="false" ht="15" hidden="false" customHeight="false" outlineLevel="0" collapsed="false">
      <c r="B7" s="5" t="s">
        <v>311</v>
      </c>
      <c r="C7" s="51" t="n">
        <v>976730662</v>
      </c>
      <c r="D7" s="6" t="s">
        <v>312</v>
      </c>
      <c r="E7" s="52" t="n">
        <v>1000</v>
      </c>
      <c r="F7" s="21" t="n">
        <f aca="false">C7*E7/100000000</f>
        <v>9767.30662</v>
      </c>
      <c r="G7" s="6" t="s">
        <v>313</v>
      </c>
      <c r="H7" s="7" t="s">
        <v>314</v>
      </c>
      <c r="I7" s="53" t="s">
        <v>315</v>
      </c>
    </row>
    <row r="8" customFormat="false" ht="15" hidden="false" customHeight="false" outlineLevel="0" collapsed="false">
      <c r="B8" s="5" t="s">
        <v>316</v>
      </c>
      <c r="C8" s="51" t="n">
        <v>404480644</v>
      </c>
      <c r="D8" s="6" t="s">
        <v>312</v>
      </c>
      <c r="E8" s="52" t="n">
        <v>1000</v>
      </c>
      <c r="F8" s="21" t="n">
        <f aca="false">C8*E8/100000000</f>
        <v>4044.80644</v>
      </c>
      <c r="G8" s="6" t="s">
        <v>313</v>
      </c>
      <c r="H8" s="7" t="s">
        <v>317</v>
      </c>
      <c r="I8" s="53" t="s">
        <v>318</v>
      </c>
    </row>
    <row r="9" customFormat="false" ht="15" hidden="false" customHeight="false" outlineLevel="0" collapsed="false">
      <c r="B9" s="5" t="s">
        <v>319</v>
      </c>
      <c r="C9" s="51" t="n">
        <v>500000000</v>
      </c>
      <c r="D9" s="6" t="s">
        <v>312</v>
      </c>
      <c r="E9" s="52" t="n">
        <v>1000</v>
      </c>
      <c r="F9" s="21" t="n">
        <f aca="false">C9*E9/100000000</f>
        <v>5000</v>
      </c>
      <c r="G9" s="6" t="s">
        <v>313</v>
      </c>
      <c r="H9" s="7" t="s">
        <v>317</v>
      </c>
      <c r="I9" s="53" t="s">
        <v>315</v>
      </c>
    </row>
    <row r="10" customFormat="false" ht="15" hidden="false" customHeight="false" outlineLevel="0" collapsed="false">
      <c r="B10" s="5" t="s">
        <v>320</v>
      </c>
      <c r="C10" s="51" t="n">
        <v>1000000000</v>
      </c>
      <c r="D10" s="6" t="s">
        <v>312</v>
      </c>
      <c r="E10" s="52" t="n">
        <v>1000</v>
      </c>
      <c r="F10" s="21" t="n">
        <f aca="false">C10*E10/100000000</f>
        <v>10000</v>
      </c>
      <c r="G10" s="6" t="s">
        <v>313</v>
      </c>
      <c r="H10" s="7" t="s">
        <v>317</v>
      </c>
      <c r="I10" s="53" t="s">
        <v>318</v>
      </c>
    </row>
    <row r="11" customFormat="false" ht="15" hidden="false" customHeight="false" outlineLevel="0" collapsed="false">
      <c r="B11" s="5" t="s">
        <v>321</v>
      </c>
      <c r="C11" s="51" t="n">
        <v>344971580</v>
      </c>
      <c r="D11" s="6" t="s">
        <v>312</v>
      </c>
      <c r="E11" s="52" t="n">
        <v>1000</v>
      </c>
      <c r="F11" s="21" t="n">
        <f aca="false">C11*E11/100000000</f>
        <v>3449.7158</v>
      </c>
      <c r="G11" s="6" t="s">
        <v>313</v>
      </c>
      <c r="H11" s="7" t="s">
        <v>314</v>
      </c>
      <c r="I11" s="53" t="s">
        <v>322</v>
      </c>
    </row>
    <row r="12" customFormat="false" ht="15" hidden="false" customHeight="false" outlineLevel="0" collapsed="false">
      <c r="B12" s="5" t="s">
        <v>323</v>
      </c>
      <c r="C12" s="51" t="n">
        <v>-533713316</v>
      </c>
      <c r="D12" s="6" t="s">
        <v>312</v>
      </c>
      <c r="E12" s="52" t="n">
        <v>1000</v>
      </c>
      <c r="F12" s="21" t="n">
        <f aca="false">C12*E12/100000000</f>
        <v>-5337.13316</v>
      </c>
      <c r="G12" s="6" t="s">
        <v>313</v>
      </c>
      <c r="H12" s="7" t="s">
        <v>314</v>
      </c>
      <c r="I12" s="53" t="s">
        <v>322</v>
      </c>
    </row>
    <row r="13" customFormat="false" ht="15" hidden="false" customHeight="false" outlineLevel="0" collapsed="false">
      <c r="B13" s="5" t="s">
        <v>324</v>
      </c>
      <c r="C13" s="51" t="n">
        <v>-383925869</v>
      </c>
      <c r="D13" s="6" t="s">
        <v>312</v>
      </c>
      <c r="E13" s="52" t="n">
        <v>1000</v>
      </c>
      <c r="F13" s="21" t="n">
        <f aca="false">C13*E13/100000000</f>
        <v>-3839.25869</v>
      </c>
      <c r="G13" s="6" t="s">
        <v>313</v>
      </c>
      <c r="H13" s="7" t="s">
        <v>314</v>
      </c>
      <c r="I13" s="53" t="s">
        <v>322</v>
      </c>
    </row>
    <row r="14" customFormat="false" ht="15" hidden="false" customHeight="false" outlineLevel="0" collapsed="false">
      <c r="B14" s="5" t="s">
        <v>325</v>
      </c>
      <c r="C14" s="51" t="n">
        <v>417587</v>
      </c>
      <c r="D14" s="6" t="s">
        <v>312</v>
      </c>
      <c r="E14" s="52" t="n">
        <v>1000</v>
      </c>
      <c r="F14" s="21" t="n">
        <f aca="false">C14*E14/100000000</f>
        <v>4.17587</v>
      </c>
      <c r="G14" s="6" t="s">
        <v>313</v>
      </c>
      <c r="H14" s="7" t="s">
        <v>314</v>
      </c>
      <c r="I14" s="53" t="s">
        <v>322</v>
      </c>
    </row>
    <row r="15" customFormat="false" ht="15" hidden="false" customHeight="false" outlineLevel="0" collapsed="false">
      <c r="B15" s="5" t="s">
        <v>326</v>
      </c>
      <c r="C15" s="51" t="n">
        <v>500000000</v>
      </c>
      <c r="D15" s="6" t="s">
        <v>312</v>
      </c>
      <c r="E15" s="52" t="n">
        <v>1000</v>
      </c>
      <c r="F15" s="21" t="n">
        <f aca="false">C15*E15/100000000</f>
        <v>5000</v>
      </c>
      <c r="G15" s="6" t="s">
        <v>313</v>
      </c>
      <c r="H15" s="7" t="s">
        <v>327</v>
      </c>
      <c r="I15" s="53" t="s">
        <v>322</v>
      </c>
    </row>
    <row r="16" customFormat="false" ht="15" hidden="false" customHeight="false" outlineLevel="0" collapsed="false">
      <c r="B16" s="5" t="s">
        <v>328</v>
      </c>
      <c r="C16" s="51" t="n">
        <v>230000000</v>
      </c>
      <c r="D16" s="6" t="s">
        <v>312</v>
      </c>
      <c r="E16" s="52" t="n">
        <v>1000</v>
      </c>
      <c r="F16" s="21" t="n">
        <f aca="false">C16*E16/100000000</f>
        <v>2300</v>
      </c>
      <c r="G16" s="6" t="s">
        <v>313</v>
      </c>
      <c r="H16" s="7" t="s">
        <v>314</v>
      </c>
      <c r="I16" s="53" t="s">
        <v>322</v>
      </c>
    </row>
    <row r="17" customFormat="false" ht="15" hidden="false" customHeight="false" outlineLevel="0" collapsed="false">
      <c r="B17" s="5" t="s">
        <v>329</v>
      </c>
      <c r="C17" s="51" t="n">
        <v>47351326</v>
      </c>
      <c r="D17" s="6" t="s">
        <v>312</v>
      </c>
      <c r="E17" s="52" t="n">
        <v>1000</v>
      </c>
      <c r="F17" s="21" t="n">
        <f aca="false">C17*E17/100000000</f>
        <v>473.51326</v>
      </c>
      <c r="G17" s="6" t="s">
        <v>313</v>
      </c>
      <c r="H17" s="7" t="s">
        <v>314</v>
      </c>
      <c r="I17" s="53" t="s">
        <v>322</v>
      </c>
    </row>
    <row r="18" customFormat="false" ht="15" hidden="false" customHeight="false" outlineLevel="0" collapsed="false">
      <c r="B18" s="5" t="s">
        <v>330</v>
      </c>
      <c r="C18" s="51" t="n">
        <v>106574543</v>
      </c>
      <c r="D18" s="6" t="s">
        <v>312</v>
      </c>
      <c r="E18" s="52" t="n">
        <v>1000</v>
      </c>
      <c r="F18" s="21" t="n">
        <f aca="false">C18*E18/100000000</f>
        <v>1065.74543</v>
      </c>
      <c r="G18" s="6" t="s">
        <v>313</v>
      </c>
      <c r="H18" s="7" t="s">
        <v>314</v>
      </c>
      <c r="I18" s="53" t="s">
        <v>322</v>
      </c>
    </row>
    <row r="19" customFormat="false" ht="15" hidden="false" customHeight="false" outlineLevel="0" collapsed="false">
      <c r="B19" s="5" t="s">
        <v>331</v>
      </c>
      <c r="C19" s="51" t="n">
        <v>11771619</v>
      </c>
      <c r="D19" s="6" t="s">
        <v>312</v>
      </c>
      <c r="E19" s="52" t="n">
        <v>1000</v>
      </c>
      <c r="F19" s="21" t="n">
        <f aca="false">C19*E19/100000000</f>
        <v>117.71619</v>
      </c>
      <c r="G19" s="6" t="s">
        <v>313</v>
      </c>
      <c r="H19" s="7" t="s">
        <v>314</v>
      </c>
      <c r="I19" s="53" t="s">
        <v>322</v>
      </c>
    </row>
    <row r="20" customFormat="false" ht="15" hidden="false" customHeight="false" outlineLevel="0" collapsed="false">
      <c r="B20" s="5" t="s">
        <v>332</v>
      </c>
      <c r="C20" s="51" t="n">
        <v>2055990</v>
      </c>
      <c r="D20" s="6" t="s">
        <v>312</v>
      </c>
      <c r="E20" s="52" t="n">
        <v>1000</v>
      </c>
      <c r="F20" s="21" t="n">
        <f aca="false">C20*E20/100000000</f>
        <v>20.5599</v>
      </c>
      <c r="G20" s="6" t="s">
        <v>313</v>
      </c>
      <c r="H20" s="7" t="s">
        <v>314</v>
      </c>
      <c r="I20" s="53" t="s">
        <v>322</v>
      </c>
    </row>
    <row r="21" customFormat="false" ht="15" hidden="false" customHeight="false" outlineLevel="0" collapsed="false">
      <c r="B21" s="5" t="s">
        <v>333</v>
      </c>
      <c r="C21" s="51" t="n">
        <v>151924765</v>
      </c>
      <c r="D21" s="6" t="s">
        <v>312</v>
      </c>
      <c r="E21" s="52" t="n">
        <v>1000</v>
      </c>
      <c r="F21" s="21" t="n">
        <f aca="false">C21*E21/100000000</f>
        <v>1519.24765</v>
      </c>
      <c r="G21" s="6" t="s">
        <v>313</v>
      </c>
      <c r="H21" s="7" t="s">
        <v>334</v>
      </c>
      <c r="I21" s="53" t="s">
        <v>322</v>
      </c>
    </row>
    <row r="22" customFormat="false" ht="15" hidden="false" customHeight="false" outlineLevel="0" collapsed="false">
      <c r="B22" s="5" t="s">
        <v>335</v>
      </c>
      <c r="C22" s="51" t="n">
        <v>17702275</v>
      </c>
      <c r="D22" s="6" t="s">
        <v>312</v>
      </c>
      <c r="E22" s="52" t="n">
        <v>1000</v>
      </c>
      <c r="F22" s="21" t="n">
        <f aca="false">C22*E22/100000000</f>
        <v>177.02275</v>
      </c>
      <c r="G22" s="6" t="s">
        <v>313</v>
      </c>
      <c r="H22" s="7" t="s">
        <v>314</v>
      </c>
      <c r="I22" s="53" t="s">
        <v>322</v>
      </c>
    </row>
    <row r="23" customFormat="false" ht="15" hidden="false" customHeight="false" outlineLevel="0" collapsed="false">
      <c r="B23" s="5" t="s">
        <v>336</v>
      </c>
      <c r="C23" s="51" t="n">
        <v>5766878</v>
      </c>
      <c r="D23" s="6" t="s">
        <v>312</v>
      </c>
      <c r="E23" s="52" t="n">
        <v>1000</v>
      </c>
      <c r="F23" s="21" t="n">
        <f aca="false">C23*E23/100000000</f>
        <v>57.66878</v>
      </c>
      <c r="G23" s="6" t="s">
        <v>313</v>
      </c>
      <c r="H23" s="7" t="s">
        <v>314</v>
      </c>
      <c r="I23" s="53" t="s">
        <v>322</v>
      </c>
    </row>
    <row r="24" customFormat="false" ht="15" hidden="false" customHeight="false" outlineLevel="0" collapsed="false">
      <c r="B24" s="5" t="s">
        <v>337</v>
      </c>
      <c r="C24" s="51" t="n">
        <v>1990241</v>
      </c>
      <c r="D24" s="6" t="s">
        <v>312</v>
      </c>
      <c r="E24" s="52" t="n">
        <v>1000</v>
      </c>
      <c r="F24" s="21" t="n">
        <f aca="false">C24*E24/100000000</f>
        <v>19.90241</v>
      </c>
      <c r="G24" s="6" t="s">
        <v>313</v>
      </c>
      <c r="H24" s="7" t="s">
        <v>314</v>
      </c>
      <c r="I24" s="53" t="s">
        <v>322</v>
      </c>
    </row>
    <row r="25" customFormat="false" ht="15" hidden="false" customHeight="false" outlineLevel="0" collapsed="false">
      <c r="B25" s="5" t="s">
        <v>338</v>
      </c>
      <c r="C25" s="51" t="n">
        <v>2198632589</v>
      </c>
      <c r="D25" s="6" t="s">
        <v>312</v>
      </c>
      <c r="E25" s="52" t="n">
        <v>1000</v>
      </c>
      <c r="F25" s="21" t="n">
        <f aca="false">C25*E25/100000000</f>
        <v>21986.32589</v>
      </c>
      <c r="G25" s="6" t="s">
        <v>313</v>
      </c>
      <c r="H25" s="7" t="s">
        <v>339</v>
      </c>
      <c r="I25" s="53" t="s">
        <v>322</v>
      </c>
    </row>
    <row r="26" customFormat="false" ht="15" hidden="false" customHeight="false" outlineLevel="0" collapsed="false">
      <c r="B26" s="5" t="s">
        <v>340</v>
      </c>
      <c r="C26" s="51" t="n">
        <v>162923442</v>
      </c>
      <c r="D26" s="6" t="s">
        <v>312</v>
      </c>
      <c r="E26" s="52" t="n">
        <v>1000</v>
      </c>
      <c r="F26" s="21" t="n">
        <f aca="false">C26*E26/100000000</f>
        <v>1629.23442</v>
      </c>
      <c r="G26" s="6" t="s">
        <v>313</v>
      </c>
      <c r="H26" s="7" t="s">
        <v>339</v>
      </c>
      <c r="I26" s="53" t="s">
        <v>322</v>
      </c>
    </row>
    <row r="27" customFormat="false" ht="15" hidden="false" customHeight="false" outlineLevel="0" collapsed="false">
      <c r="B27" s="5" t="s">
        <v>341</v>
      </c>
      <c r="C27" s="51" t="n">
        <v>73919616</v>
      </c>
      <c r="D27" s="6" t="s">
        <v>312</v>
      </c>
      <c r="E27" s="52" t="n">
        <v>1000</v>
      </c>
      <c r="F27" s="21" t="n">
        <f aca="false">C27*E27/100000000</f>
        <v>739.19616</v>
      </c>
      <c r="G27" s="6" t="s">
        <v>313</v>
      </c>
      <c r="H27" s="7" t="s">
        <v>342</v>
      </c>
      <c r="I27" s="53" t="s">
        <v>322</v>
      </c>
    </row>
    <row r="28" customFormat="false" ht="15" hidden="false" customHeight="false" outlineLevel="0" collapsed="false">
      <c r="B28" s="5" t="s">
        <v>343</v>
      </c>
      <c r="C28" s="51" t="n">
        <v>5899159</v>
      </c>
      <c r="D28" s="6" t="s">
        <v>312</v>
      </c>
      <c r="E28" s="52" t="n">
        <v>1000</v>
      </c>
      <c r="F28" s="21" t="n">
        <f aca="false">C28*E28/100000000</f>
        <v>58.99159</v>
      </c>
      <c r="G28" s="6" t="s">
        <v>313</v>
      </c>
      <c r="H28" s="7" t="s">
        <v>344</v>
      </c>
      <c r="I28" s="53" t="s">
        <v>322</v>
      </c>
    </row>
    <row r="29" customFormat="false" ht="15" hidden="false" customHeight="false" outlineLevel="0" collapsed="false">
      <c r="B29" s="5" t="s">
        <v>345</v>
      </c>
      <c r="C29" s="51" t="n">
        <v>5449271</v>
      </c>
      <c r="D29" s="6" t="s">
        <v>346</v>
      </c>
      <c r="E29" s="52" t="n">
        <v>1000000</v>
      </c>
      <c r="F29" s="21" t="n">
        <f aca="false">C29*E29/100000000</f>
        <v>54492.71</v>
      </c>
      <c r="G29" s="6" t="s">
        <v>313</v>
      </c>
      <c r="H29" s="7" t="s">
        <v>347</v>
      </c>
      <c r="I29" s="53" t="s">
        <v>348</v>
      </c>
    </row>
    <row r="30" customFormat="false" ht="15" hidden="false" customHeight="false" outlineLevel="0" collapsed="false">
      <c r="B30" s="5" t="s">
        <v>349</v>
      </c>
      <c r="C30" s="51" t="n">
        <v>100000000</v>
      </c>
      <c r="D30" s="6" t="s">
        <v>312</v>
      </c>
      <c r="E30" s="52" t="n">
        <v>1000</v>
      </c>
      <c r="F30" s="21" t="n">
        <f aca="false">C30*E30/100000000</f>
        <v>1000</v>
      </c>
      <c r="G30" s="6" t="s">
        <v>313</v>
      </c>
      <c r="H30" s="7" t="s">
        <v>350</v>
      </c>
      <c r="I30" s="53" t="s">
        <v>318</v>
      </c>
    </row>
    <row r="31" customFormat="false" ht="15" hidden="false" customHeight="false" outlineLevel="0" collapsed="false">
      <c r="B31" s="5" t="s">
        <v>351</v>
      </c>
      <c r="C31" s="51" t="n">
        <v>60000000</v>
      </c>
      <c r="D31" s="6" t="s">
        <v>312</v>
      </c>
      <c r="E31" s="52" t="n">
        <v>1000</v>
      </c>
      <c r="F31" s="21" t="n">
        <f aca="false">C31*E31/100000000</f>
        <v>600</v>
      </c>
      <c r="G31" s="6" t="s">
        <v>313</v>
      </c>
      <c r="H31" s="7" t="s">
        <v>352</v>
      </c>
      <c r="I31" s="53" t="s">
        <v>318</v>
      </c>
    </row>
    <row r="32" customFormat="false" ht="15" hidden="false" customHeight="false" outlineLevel="0" collapsed="false">
      <c r="B32" s="5" t="s">
        <v>353</v>
      </c>
      <c r="C32" s="51" t="n">
        <v>72664461000</v>
      </c>
      <c r="D32" s="6" t="s">
        <v>354</v>
      </c>
      <c r="E32" s="52" t="n">
        <v>1</v>
      </c>
      <c r="F32" s="21" t="n">
        <f aca="false">C32*E32/100000000</f>
        <v>726.64461</v>
      </c>
      <c r="G32" s="6" t="s">
        <v>355</v>
      </c>
      <c r="H32" s="7" t="s">
        <v>356</v>
      </c>
      <c r="I32" s="53" t="s">
        <v>357</v>
      </c>
    </row>
    <row r="33" customFormat="false" ht="15" hidden="false" customHeight="false" outlineLevel="0" collapsed="false">
      <c r="B33" s="5" t="s">
        <v>358</v>
      </c>
      <c r="C33" s="51" t="n">
        <v>381400000000</v>
      </c>
      <c r="D33" s="6" t="s">
        <v>354</v>
      </c>
      <c r="E33" s="52" t="n">
        <v>1</v>
      </c>
      <c r="F33" s="21" t="n">
        <f aca="false">C33*E33/100000000</f>
        <v>3814</v>
      </c>
      <c r="G33" s="6" t="s">
        <v>359</v>
      </c>
      <c r="H33" s="7" t="s">
        <v>360</v>
      </c>
      <c r="I33" s="53" t="s">
        <v>361</v>
      </c>
    </row>
    <row r="34" customFormat="false" ht="15" hidden="false" customHeight="false" outlineLevel="0" collapsed="false">
      <c r="B34" s="5" t="s">
        <v>362</v>
      </c>
      <c r="C34" s="51" t="n">
        <v>12000000</v>
      </c>
      <c r="D34" s="6" t="s">
        <v>312</v>
      </c>
      <c r="E34" s="52" t="n">
        <v>1000</v>
      </c>
      <c r="F34" s="21" t="n">
        <f aca="false">C34*E34/100000000</f>
        <v>120</v>
      </c>
      <c r="G34" s="6" t="s">
        <v>313</v>
      </c>
      <c r="H34" s="7" t="s">
        <v>363</v>
      </c>
      <c r="I34" s="53" t="s">
        <v>318</v>
      </c>
    </row>
    <row r="35" customFormat="false" ht="15" hidden="false" customHeight="false" outlineLevel="0" collapsed="false">
      <c r="B35" s="5" t="s">
        <v>364</v>
      </c>
      <c r="C35" s="51" t="n">
        <v>5000000</v>
      </c>
      <c r="D35" s="6" t="s">
        <v>312</v>
      </c>
      <c r="E35" s="52" t="n">
        <v>1000</v>
      </c>
      <c r="F35" s="21" t="n">
        <f aca="false">C35*E35/100000000</f>
        <v>50</v>
      </c>
      <c r="G35" s="6" t="s">
        <v>313</v>
      </c>
      <c r="H35" s="7" t="s">
        <v>365</v>
      </c>
      <c r="I35" s="53" t="s">
        <v>318</v>
      </c>
    </row>
    <row r="36" customFormat="false" ht="15" hidden="false" customHeight="false" outlineLevel="0" collapsed="false">
      <c r="B36" s="5" t="s">
        <v>366</v>
      </c>
      <c r="C36" s="51" t="n">
        <v>109000000</v>
      </c>
      <c r="D36" s="6" t="s">
        <v>312</v>
      </c>
      <c r="E36" s="52" t="n">
        <v>1000</v>
      </c>
      <c r="F36" s="21" t="n">
        <f aca="false">C36*E36/100000000</f>
        <v>1090</v>
      </c>
      <c r="G36" s="6" t="s">
        <v>313</v>
      </c>
      <c r="H36" s="7" t="s">
        <v>367</v>
      </c>
      <c r="I36" s="53" t="s">
        <v>318</v>
      </c>
    </row>
    <row r="37" customFormat="false" ht="15" hidden="false" customHeight="false" outlineLevel="0" collapsed="false">
      <c r="B37" s="5" t="s">
        <v>368</v>
      </c>
      <c r="C37" s="51" t="n">
        <v>565017911</v>
      </c>
      <c r="D37" s="6" t="s">
        <v>312</v>
      </c>
      <c r="E37" s="52" t="n">
        <v>1000</v>
      </c>
      <c r="F37" s="21" t="n">
        <f aca="false">C37*E37/100000000</f>
        <v>5650.17911</v>
      </c>
      <c r="G37" s="6" t="s">
        <v>313</v>
      </c>
      <c r="H37" s="7" t="s">
        <v>369</v>
      </c>
      <c r="I37" s="53" t="s">
        <v>318</v>
      </c>
    </row>
    <row r="38" customFormat="false" ht="15" hidden="false" customHeight="false" outlineLevel="0" collapsed="false">
      <c r="B38" s="5" t="s">
        <v>370</v>
      </c>
      <c r="C38" s="51" t="n">
        <v>1046947188</v>
      </c>
      <c r="D38" s="6" t="s">
        <v>312</v>
      </c>
      <c r="E38" s="52" t="n">
        <v>1000</v>
      </c>
      <c r="F38" s="21" t="n">
        <f aca="false">C38*E38/100000000</f>
        <v>10469.47188</v>
      </c>
      <c r="G38" s="6" t="s">
        <v>313</v>
      </c>
      <c r="H38" s="7" t="s">
        <v>369</v>
      </c>
      <c r="I38" s="53" t="s">
        <v>318</v>
      </c>
    </row>
    <row r="39" customFormat="false" ht="15" hidden="false" customHeight="false" outlineLevel="0" collapsed="false">
      <c r="B39" s="5" t="s">
        <v>371</v>
      </c>
      <c r="C39" s="51" t="n">
        <v>159876915</v>
      </c>
      <c r="D39" s="6" t="s">
        <v>312</v>
      </c>
      <c r="E39" s="52" t="n">
        <v>1000</v>
      </c>
      <c r="F39" s="21" t="n">
        <f aca="false">C39*E39/100000000</f>
        <v>1598.76915</v>
      </c>
      <c r="G39" s="6" t="s">
        <v>313</v>
      </c>
      <c r="H39" s="7" t="s">
        <v>372</v>
      </c>
      <c r="I39" s="53" t="s">
        <v>318</v>
      </c>
    </row>
    <row r="40" customFormat="false" ht="15" hidden="false" customHeight="false" outlineLevel="0" collapsed="false">
      <c r="B40" s="5" t="s">
        <v>89</v>
      </c>
      <c r="C40" s="51" t="n">
        <v>402983657</v>
      </c>
      <c r="D40" s="6" t="s">
        <v>312</v>
      </c>
      <c r="E40" s="52" t="n">
        <v>1000</v>
      </c>
      <c r="F40" s="21" t="n">
        <f aca="false">C40*E40/100000000</f>
        <v>4029.83657</v>
      </c>
      <c r="G40" s="6" t="s">
        <v>313</v>
      </c>
      <c r="H40" s="7" t="s">
        <v>373</v>
      </c>
      <c r="I40" s="53" t="s">
        <v>318</v>
      </c>
    </row>
    <row r="41" customFormat="false" ht="15" hidden="false" customHeight="false" outlineLevel="0" collapsed="false">
      <c r="B41" s="5" t="s">
        <v>374</v>
      </c>
      <c r="C41" s="51" t="n">
        <v>2701074819</v>
      </c>
      <c r="D41" s="6" t="s">
        <v>312</v>
      </c>
      <c r="E41" s="52" t="n">
        <v>1000</v>
      </c>
      <c r="F41" s="21" t="n">
        <f aca="false">C41*E41/100000000</f>
        <v>27010.74819</v>
      </c>
      <c r="G41" s="6" t="s">
        <v>313</v>
      </c>
      <c r="H41" s="7" t="s">
        <v>317</v>
      </c>
      <c r="I41" s="53" t="s">
        <v>318</v>
      </c>
    </row>
    <row r="43" customFormat="false" ht="17.15" hidden="false" customHeight="false" outlineLevel="0" collapsed="false">
      <c r="B43" s="3" t="s">
        <v>375</v>
      </c>
    </row>
    <row r="44" customFormat="false" ht="15" hidden="false" customHeight="true" outlineLevel="0" collapsed="false">
      <c r="B44" s="4" t="s">
        <v>376</v>
      </c>
      <c r="C44" s="4" t="s">
        <v>377</v>
      </c>
      <c r="D44" s="4"/>
      <c r="E44" s="4"/>
      <c r="F44" s="4" t="s">
        <v>378</v>
      </c>
      <c r="G44" s="4"/>
      <c r="H44" s="4" t="s">
        <v>379</v>
      </c>
      <c r="I44" s="4"/>
    </row>
    <row r="45" customFormat="false" ht="15" hidden="false" customHeight="false" outlineLevel="0" collapsed="false">
      <c r="B45" s="20" t="s">
        <v>313</v>
      </c>
      <c r="C45" s="5" t="s">
        <v>380</v>
      </c>
      <c r="D45" s="5"/>
      <c r="E45" s="5"/>
      <c r="F45" s="6" t="s">
        <v>381</v>
      </c>
      <c r="G45" s="6"/>
      <c r="H45" s="54" t="s">
        <v>382</v>
      </c>
      <c r="I45" s="54"/>
    </row>
    <row r="46" customFormat="false" ht="15" hidden="false" customHeight="false" outlineLevel="0" collapsed="false">
      <c r="B46" s="20" t="s">
        <v>359</v>
      </c>
      <c r="C46" s="5" t="s">
        <v>383</v>
      </c>
      <c r="D46" s="5"/>
      <c r="E46" s="5"/>
      <c r="F46" s="6" t="s">
        <v>384</v>
      </c>
      <c r="G46" s="6"/>
      <c r="H46" s="54" t="s">
        <v>385</v>
      </c>
      <c r="I46" s="54"/>
    </row>
    <row r="47" customFormat="false" ht="15" hidden="false" customHeight="false" outlineLevel="0" collapsed="false">
      <c r="B47" s="20" t="s">
        <v>355</v>
      </c>
      <c r="C47" s="5" t="s">
        <v>386</v>
      </c>
      <c r="D47" s="5"/>
      <c r="E47" s="5"/>
      <c r="F47" s="6" t="s">
        <v>387</v>
      </c>
      <c r="G47" s="6"/>
      <c r="H47" s="54" t="s">
        <v>388</v>
      </c>
      <c r="I47" s="54"/>
    </row>
    <row r="48" customFormat="false" ht="15" hidden="false" customHeight="false" outlineLevel="0" collapsed="false">
      <c r="B48" s="20" t="s">
        <v>389</v>
      </c>
      <c r="C48" s="5" t="s">
        <v>390</v>
      </c>
      <c r="D48" s="5"/>
      <c r="E48" s="5"/>
      <c r="F48" s="6" t="s">
        <v>391</v>
      </c>
      <c r="G48" s="6"/>
      <c r="H48" s="54" t="s">
        <v>392</v>
      </c>
      <c r="I48" s="54"/>
    </row>
    <row r="49" customFormat="false" ht="15" hidden="false" customHeight="false" outlineLevel="0" collapsed="false">
      <c r="B49" s="20" t="s">
        <v>393</v>
      </c>
      <c r="C49" s="5" t="s">
        <v>394</v>
      </c>
      <c r="D49" s="5"/>
      <c r="E49" s="5"/>
      <c r="F49" s="6" t="s">
        <v>391</v>
      </c>
      <c r="G49" s="6"/>
      <c r="H49" s="54" t="s">
        <v>395</v>
      </c>
      <c r="I49" s="54"/>
    </row>
    <row r="50" customFormat="false" ht="15" hidden="false" customHeight="false" outlineLevel="0" collapsed="false">
      <c r="B50" s="20" t="s">
        <v>396</v>
      </c>
      <c r="C50" s="5" t="s">
        <v>397</v>
      </c>
      <c r="D50" s="5"/>
      <c r="E50" s="5"/>
      <c r="F50" s="6" t="s">
        <v>398</v>
      </c>
      <c r="G50" s="6"/>
      <c r="H50" s="54" t="s">
        <v>399</v>
      </c>
      <c r="I50" s="54"/>
    </row>
    <row r="51" customFormat="false" ht="15" hidden="false" customHeight="false" outlineLevel="0" collapsed="false">
      <c r="B51" s="20" t="s">
        <v>400</v>
      </c>
      <c r="C51" s="5" t="s">
        <v>401</v>
      </c>
      <c r="D51" s="5"/>
      <c r="E51" s="5"/>
      <c r="F51" s="6" t="s">
        <v>402</v>
      </c>
      <c r="G51" s="6"/>
      <c r="H51" s="54" t="s">
        <v>403</v>
      </c>
      <c r="I51" s="54"/>
    </row>
  </sheetData>
  <mergeCells count="24">
    <mergeCell ref="C44:E44"/>
    <mergeCell ref="F44:G44"/>
    <mergeCell ref="H44:I44"/>
    <mergeCell ref="C45:E45"/>
    <mergeCell ref="F45:G45"/>
    <mergeCell ref="H45:I45"/>
    <mergeCell ref="C46:E46"/>
    <mergeCell ref="F46:G46"/>
    <mergeCell ref="H46:I46"/>
    <mergeCell ref="C47:E47"/>
    <mergeCell ref="F47:G47"/>
    <mergeCell ref="H47:I47"/>
    <mergeCell ref="C48:E48"/>
    <mergeCell ref="F48:G48"/>
    <mergeCell ref="H48:I48"/>
    <mergeCell ref="C49:E49"/>
    <mergeCell ref="F49:G49"/>
    <mergeCell ref="H49:I49"/>
    <mergeCell ref="C50:E50"/>
    <mergeCell ref="F50:G50"/>
    <mergeCell ref="H50:I50"/>
    <mergeCell ref="C51:E51"/>
    <mergeCell ref="F51:G51"/>
    <mergeCell ref="H51:I51"/>
  </mergeCells>
  <hyperlinks>
    <hyperlink ref="H45" r:id="rId1" display="https://dart.fss.or.kr/dsaf001/main.do?rcpNo=20260814002448"/>
    <hyperlink ref="H46" r:id="rId2" display="https://dart.fss.or.kr/dsaf001/main.do?rcpNo=20260911800638"/>
    <hyperlink ref="H47" r:id="rId3" display="https://financialfilings.com/filings/lg-cns-co-ltd/notice-of-dividend-amount/2026/49961973/"/>
    <hyperlink ref="H48" r:id="rId4" display="https://www.lgcns.com/content/dam/lgcns/resources/company/ir/investors-activity/earnings-announcement/LG%20CNS_2Q26_Earnings_KR.pdf"/>
    <hyperlink ref="H49" r:id="rId5" display="https://connect.lgcns.com/kr/newsroom/press/detail.ir-2607-3"/>
    <hyperlink ref="H50" r:id="rId6" display="https://connect.lgcns.com/kr/newsroom/press/detail.ax-2610-1"/>
    <hyperlink ref="H51" r:id="rId7" display="https://www.ifrs.org/issued-standards/list-of-standards/ifrs-16-leas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98989"/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6" min="6" style="0" width="32"/>
    <col collapsed="false" customWidth="true" hidden="false" outlineLevel="0" max="7" min="7" style="0" width="16"/>
  </cols>
  <sheetData>
    <row r="2" customFormat="false" ht="19.4" hidden="false" customHeight="false" outlineLevel="0" collapsed="false">
      <c r="B2" s="1" t="s">
        <v>404</v>
      </c>
    </row>
    <row r="3" customFormat="false" ht="15" hidden="false" customHeight="false" outlineLevel="0" collapsed="false">
      <c r="B3" s="2" t="s">
        <v>405</v>
      </c>
    </row>
    <row r="5" customFormat="false" ht="17.15" hidden="false" customHeight="false" outlineLevel="0" collapsed="false">
      <c r="B5" s="3" t="s">
        <v>406</v>
      </c>
    </row>
    <row r="6" customFormat="false" ht="15" hidden="false" customHeight="false" outlineLevel="0" collapsed="false">
      <c r="B6" s="4" t="s">
        <v>407</v>
      </c>
      <c r="C6" s="4" t="s">
        <v>408</v>
      </c>
      <c r="D6" s="4" t="s">
        <v>409</v>
      </c>
      <c r="E6" s="4" t="s">
        <v>410</v>
      </c>
      <c r="F6" s="4" t="s">
        <v>411</v>
      </c>
      <c r="G6" s="4" t="s">
        <v>412</v>
      </c>
    </row>
    <row r="7" customFormat="false" ht="30" hidden="false" customHeight="true" outlineLevel="0" collapsed="false">
      <c r="B7" s="55" t="s">
        <v>413</v>
      </c>
      <c r="C7" s="37" t="s">
        <v>414</v>
      </c>
      <c r="D7" s="37" t="s">
        <v>415</v>
      </c>
      <c r="E7" s="37" t="s">
        <v>416</v>
      </c>
      <c r="F7" s="37" t="s">
        <v>417</v>
      </c>
      <c r="G7" s="37" t="s">
        <v>418</v>
      </c>
    </row>
    <row r="8" customFormat="false" ht="30" hidden="false" customHeight="true" outlineLevel="0" collapsed="false">
      <c r="B8" s="55" t="s">
        <v>419</v>
      </c>
      <c r="C8" s="37" t="s">
        <v>420</v>
      </c>
      <c r="D8" s="37" t="s">
        <v>421</v>
      </c>
      <c r="E8" s="37" t="s">
        <v>422</v>
      </c>
      <c r="F8" s="37" t="s">
        <v>423</v>
      </c>
      <c r="G8" s="37" t="s">
        <v>424</v>
      </c>
    </row>
    <row r="9" customFormat="false" ht="30" hidden="false" customHeight="true" outlineLevel="0" collapsed="false">
      <c r="B9" s="55" t="s">
        <v>425</v>
      </c>
      <c r="C9" s="37" t="s">
        <v>426</v>
      </c>
      <c r="D9" s="37" t="s">
        <v>427</v>
      </c>
      <c r="E9" s="37" t="s">
        <v>428</v>
      </c>
      <c r="F9" s="37" t="s">
        <v>429</v>
      </c>
      <c r="G9" s="37" t="s">
        <v>430</v>
      </c>
    </row>
    <row r="10" customFormat="false" ht="30" hidden="false" customHeight="true" outlineLevel="0" collapsed="false">
      <c r="B10" s="55" t="s">
        <v>431</v>
      </c>
      <c r="C10" s="37" t="s">
        <v>432</v>
      </c>
      <c r="D10" s="37" t="s">
        <v>433</v>
      </c>
      <c r="E10" s="37" t="s">
        <v>434</v>
      </c>
      <c r="F10" s="37" t="s">
        <v>435</v>
      </c>
      <c r="G10" s="37" t="s">
        <v>436</v>
      </c>
    </row>
    <row r="11" customFormat="false" ht="30" hidden="false" customHeight="true" outlineLevel="0" collapsed="false">
      <c r="B11" s="55" t="s">
        <v>437</v>
      </c>
      <c r="C11" s="37" t="s">
        <v>438</v>
      </c>
      <c r="D11" s="37" t="s">
        <v>439</v>
      </c>
      <c r="E11" s="37" t="s">
        <v>440</v>
      </c>
      <c r="F11" s="37" t="s">
        <v>441</v>
      </c>
      <c r="G11" s="37" t="s">
        <v>442</v>
      </c>
    </row>
    <row r="12" customFormat="false" ht="30" hidden="false" customHeight="true" outlineLevel="0" collapsed="false">
      <c r="B12" s="55" t="s">
        <v>443</v>
      </c>
      <c r="C12" s="37" t="s">
        <v>444</v>
      </c>
      <c r="D12" s="37" t="s">
        <v>445</v>
      </c>
      <c r="E12" s="37" t="s">
        <v>446</v>
      </c>
      <c r="F12" s="37" t="s">
        <v>447</v>
      </c>
      <c r="G12" s="37" t="s">
        <v>448</v>
      </c>
    </row>
    <row r="13" customFormat="false" ht="30" hidden="false" customHeight="true" outlineLevel="0" collapsed="false">
      <c r="B13" s="55" t="s">
        <v>449</v>
      </c>
      <c r="C13" s="37" t="s">
        <v>450</v>
      </c>
      <c r="D13" s="37" t="s">
        <v>451</v>
      </c>
      <c r="E13" s="37" t="s">
        <v>452</v>
      </c>
      <c r="F13" s="37" t="s">
        <v>453</v>
      </c>
      <c r="G13" s="37" t="s">
        <v>454</v>
      </c>
    </row>
    <row r="15" customFormat="false" ht="17.15" hidden="false" customHeight="false" outlineLevel="0" collapsed="false">
      <c r="B15" s="3" t="s">
        <v>455</v>
      </c>
    </row>
    <row r="16" customFormat="false" ht="15" hidden="false" customHeight="true" outlineLevel="0" collapsed="false">
      <c r="B16" s="4" t="s">
        <v>456</v>
      </c>
      <c r="C16" s="4" t="s">
        <v>457</v>
      </c>
      <c r="D16" s="4" t="s">
        <v>458</v>
      </c>
      <c r="E16" s="4" t="s">
        <v>459</v>
      </c>
      <c r="F16" s="4" t="s">
        <v>460</v>
      </c>
      <c r="G16" s="4"/>
    </row>
    <row r="17" customFormat="false" ht="15" hidden="false" customHeight="true" outlineLevel="0" collapsed="false">
      <c r="B17" s="56" t="s">
        <v>461</v>
      </c>
      <c r="C17" s="57" t="s">
        <v>462</v>
      </c>
      <c r="D17" s="56" t="s">
        <v>463</v>
      </c>
      <c r="E17" s="58" t="s">
        <v>464</v>
      </c>
      <c r="F17" s="58" t="s">
        <v>465</v>
      </c>
      <c r="G17" s="58"/>
    </row>
    <row r="18" customFormat="false" ht="15" hidden="false" customHeight="true" outlineLevel="0" collapsed="false">
      <c r="B18" s="56" t="s">
        <v>466</v>
      </c>
      <c r="C18" s="57" t="s">
        <v>467</v>
      </c>
      <c r="D18" s="56" t="s">
        <v>463</v>
      </c>
      <c r="E18" s="58" t="s">
        <v>468</v>
      </c>
      <c r="F18" s="58" t="s">
        <v>469</v>
      </c>
      <c r="G18" s="58"/>
    </row>
    <row r="19" customFormat="false" ht="15" hidden="false" customHeight="true" outlineLevel="0" collapsed="false">
      <c r="B19" s="56" t="s">
        <v>470</v>
      </c>
      <c r="C19" s="57" t="s">
        <v>471</v>
      </c>
      <c r="D19" s="56" t="s">
        <v>472</v>
      </c>
      <c r="E19" s="58" t="s">
        <v>473</v>
      </c>
      <c r="F19" s="58" t="s">
        <v>474</v>
      </c>
      <c r="G19" s="58"/>
    </row>
    <row r="20" customFormat="false" ht="15" hidden="false" customHeight="true" outlineLevel="0" collapsed="false">
      <c r="B20" s="56" t="s">
        <v>475</v>
      </c>
      <c r="C20" s="57" t="s">
        <v>476</v>
      </c>
      <c r="D20" s="56" t="s">
        <v>477</v>
      </c>
      <c r="E20" s="58" t="s">
        <v>478</v>
      </c>
      <c r="F20" s="58" t="s">
        <v>479</v>
      </c>
      <c r="G20" s="58"/>
    </row>
    <row r="21" customFormat="false" ht="15" hidden="false" customHeight="true" outlineLevel="0" collapsed="false">
      <c r="B21" s="56" t="s">
        <v>480</v>
      </c>
      <c r="C21" s="57" t="s">
        <v>481</v>
      </c>
      <c r="D21" s="56" t="s">
        <v>482</v>
      </c>
      <c r="E21" s="58" t="s">
        <v>483</v>
      </c>
      <c r="F21" s="58" t="s">
        <v>484</v>
      </c>
      <c r="G21" s="58"/>
    </row>
    <row r="22" customFormat="false" ht="15" hidden="false" customHeight="true" outlineLevel="0" collapsed="false">
      <c r="B22" s="56" t="s">
        <v>485</v>
      </c>
      <c r="C22" s="57" t="s">
        <v>486</v>
      </c>
      <c r="D22" s="56" t="s">
        <v>487</v>
      </c>
      <c r="E22" s="58" t="s">
        <v>488</v>
      </c>
      <c r="F22" s="58" t="s">
        <v>489</v>
      </c>
      <c r="G22" s="58"/>
    </row>
    <row r="24" customFormat="false" ht="15" hidden="false" customHeight="false" outlineLevel="0" collapsed="false">
      <c r="B24" s="2" t="s">
        <v>490</v>
      </c>
    </row>
  </sheetData>
  <mergeCells count="7">
    <mergeCell ref="F16:G16"/>
    <mergeCell ref="F17:G17"/>
    <mergeCell ref="F18:G18"/>
    <mergeCell ref="F19:G19"/>
    <mergeCell ref="F20:G20"/>
    <mergeCell ref="F21:G21"/>
    <mergeCell ref="F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98989"/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50"/>
  </cols>
  <sheetData>
    <row r="2" customFormat="false" ht="19.4" hidden="false" customHeight="false" outlineLevel="0" collapsed="false">
      <c r="B2" s="1" t="s">
        <v>491</v>
      </c>
    </row>
    <row r="3" customFormat="false" ht="15" hidden="false" customHeight="false" outlineLevel="0" collapsed="false">
      <c r="B3" s="2" t="s">
        <v>492</v>
      </c>
    </row>
    <row r="5" customFormat="false" ht="17.15" hidden="false" customHeight="false" outlineLevel="0" collapsed="false">
      <c r="B5" s="3" t="s">
        <v>493</v>
      </c>
    </row>
    <row r="6" customFormat="false" ht="15" hidden="false" customHeight="false" outlineLevel="0" collapsed="false">
      <c r="B6" s="4" t="s">
        <v>494</v>
      </c>
      <c r="C6" s="4" t="s">
        <v>495</v>
      </c>
      <c r="D6" s="4" t="s">
        <v>310</v>
      </c>
      <c r="E6" s="4" t="s">
        <v>496</v>
      </c>
      <c r="F6" s="4" t="s">
        <v>497</v>
      </c>
    </row>
    <row r="7" customFormat="false" ht="15" hidden="false" customHeight="false" outlineLevel="0" collapsed="false">
      <c r="B7" s="5" t="s">
        <v>498</v>
      </c>
      <c r="C7" s="15" t="n">
        <f aca="false">가정!$C$27</f>
        <v>0</v>
      </c>
      <c r="D7" s="59" t="n">
        <v>0</v>
      </c>
      <c r="E7" s="20" t="str">
        <f aca="false">IF(ABS(C7)&lt;0.01,"정상","확인")</f>
        <v>정상</v>
      </c>
      <c r="F7" s="7" t="s">
        <v>499</v>
      </c>
    </row>
    <row r="8" customFormat="false" ht="15" hidden="false" customHeight="false" outlineLevel="0" collapsed="false">
      <c r="B8" s="5" t="s">
        <v>500</v>
      </c>
      <c r="C8" s="15" t="n">
        <f aca="false">CF_자금판!$C$10-1</f>
        <v>0</v>
      </c>
      <c r="D8" s="59" t="n">
        <v>0</v>
      </c>
      <c r="E8" s="20" t="str">
        <f aca="false">IF(ABS(C8)&lt;0.01,"정상","확인")</f>
        <v>정상</v>
      </c>
      <c r="F8" s="7" t="s">
        <v>501</v>
      </c>
    </row>
    <row r="9" customFormat="false" ht="15" hidden="false" customHeight="false" outlineLevel="0" collapsed="false">
      <c r="B9" s="5" t="s">
        <v>502</v>
      </c>
      <c r="C9" s="15" t="n">
        <f aca="false">가정!$D$11+CF_자금판!$C$31+CF_자금판!$C$38-CF_자금판!$C$41-CF_자금판!$C$45-CF_자금판!$AH$43</f>
        <v>0</v>
      </c>
      <c r="D9" s="59" t="n">
        <v>0</v>
      </c>
      <c r="E9" s="20" t="str">
        <f aca="false">IF(ABS(C9)&lt;0.01,"정상","확인")</f>
        <v>정상</v>
      </c>
      <c r="F9" s="7" t="s">
        <v>503</v>
      </c>
    </row>
    <row r="10" customFormat="false" ht="15" hidden="false" customHeight="false" outlineLevel="0" collapsed="false">
      <c r="B10" s="5" t="s">
        <v>504</v>
      </c>
      <c r="C10" s="15" t="n">
        <f aca="false">가정!$D$11+CF_자금판!$C$55+CF_자금판!$C$62-CF_자금판!$C$65-CF_자금판!$C$69-CF_자금판!$AH$67</f>
        <v>0</v>
      </c>
      <c r="D10" s="59" t="n">
        <v>0</v>
      </c>
      <c r="E10" s="20" t="str">
        <f aca="false">IF(ABS(C10)&lt;0.01,"정상","확인")</f>
        <v>정상</v>
      </c>
      <c r="F10" s="7" t="s">
        <v>503</v>
      </c>
    </row>
    <row r="11" customFormat="false" ht="15" hidden="false" customHeight="false" outlineLevel="0" collapsed="false">
      <c r="B11" s="5" t="s">
        <v>505</v>
      </c>
      <c r="C11" s="15" t="n">
        <f aca="false">가정!$D$11+CF_자금판!$C$79+CF_자금판!$C$86-CF_자금판!$C$89-CF_자금판!$C$93-CF_자금판!$AH$91</f>
        <v>0</v>
      </c>
      <c r="D11" s="59" t="n">
        <v>0</v>
      </c>
      <c r="E11" s="20" t="str">
        <f aca="false">IF(ABS(C11)&lt;0.01,"정상","확인")</f>
        <v>정상</v>
      </c>
      <c r="F11" s="7" t="s">
        <v>503</v>
      </c>
    </row>
    <row r="12" customFormat="false" ht="15" hidden="false" customHeight="false" outlineLevel="0" collapsed="false">
      <c r="B12" s="5" t="s">
        <v>506</v>
      </c>
      <c r="C12" s="15" t="n">
        <f aca="false">MAX(0,MAX(CF_자금판!$E$42:$AH$42,CF_자금판!$E$66:$AH$66,CF_자금판!$E$90:$AH$90)-가정!$C$61)</f>
        <v>0</v>
      </c>
      <c r="D12" s="59" t="n">
        <v>0</v>
      </c>
      <c r="E12" s="20" t="str">
        <f aca="false">IF(ABS(C12)&lt;0.01,"정상","확인")</f>
        <v>정상</v>
      </c>
      <c r="F12" s="7" t="s">
        <v>507</v>
      </c>
    </row>
    <row r="13" customFormat="false" ht="15" hidden="false" customHeight="false" outlineLevel="0" collapsed="false">
      <c r="B13" s="5" t="s">
        <v>508</v>
      </c>
      <c r="C13" s="15" t="n">
        <f aca="false">SUMPRODUCT((CF_자금판!$E$6:$AH$6&gt;=EOMONTH(가정!$C$70,0))*CF_자금판!$E$42:$AH$42)+SUMPRODUCT((CF_자금판!$E$6:$AH$6&gt;=EOMONTH(가정!$C$70,0))*CF_자금판!$E$66:$AH$66)+SUMPRODUCT((CF_자금판!$E$6:$AH$6&gt;=EOMONTH(가정!$C$70,0))*CF_자금판!$E$90:$AH$90)</f>
        <v>0</v>
      </c>
      <c r="D13" s="59" t="n">
        <v>0</v>
      </c>
      <c r="E13" s="20" t="str">
        <f aca="false">IF(ABS(C13)&lt;0.01,"정상","확인")</f>
        <v>정상</v>
      </c>
      <c r="F13" s="7" t="s">
        <v>509</v>
      </c>
    </row>
    <row r="14" customFormat="false" ht="15" hidden="false" customHeight="false" outlineLevel="0" collapsed="false">
      <c r="B14" s="5" t="s">
        <v>510</v>
      </c>
      <c r="C14" s="15" t="n">
        <f aca="false">CF_자금판!$C$15+가정!$C$45+가정!$C$46</f>
        <v>0</v>
      </c>
      <c r="D14" s="59" t="n">
        <v>0</v>
      </c>
      <c r="E14" s="20" t="str">
        <f aca="false">IF(ABS(C14)&lt;0.01,"정상","확인")</f>
        <v>정상</v>
      </c>
      <c r="F14" s="7" t="s">
        <v>511</v>
      </c>
    </row>
    <row r="15" customFormat="false" ht="15" hidden="false" customHeight="false" outlineLevel="0" collapsed="false">
      <c r="B15" s="5" t="s">
        <v>512</v>
      </c>
      <c r="C15" s="15" t="n">
        <f aca="false">MAX(0,가정!$D$10-가정!$D$8)</f>
        <v>0</v>
      </c>
      <c r="D15" s="59" t="n">
        <v>0</v>
      </c>
      <c r="E15" s="20" t="str">
        <f aca="false">IF(ABS(C15)&lt;0.01,"정상","확인")</f>
        <v>정상</v>
      </c>
      <c r="F15" s="7"/>
    </row>
    <row r="16" customFormat="false" ht="15" hidden="false" customHeight="false" outlineLevel="0" collapsed="false">
      <c r="B16" s="5" t="s">
        <v>513</v>
      </c>
      <c r="C16" s="15" t="n">
        <f aca="false">가정!$C$63-가정!$C$61</f>
        <v>0</v>
      </c>
      <c r="D16" s="59" t="n">
        <v>0</v>
      </c>
      <c r="E16" s="20" t="str">
        <f aca="false">IF(ABS(C16)&lt;0.01,"정상","확인")</f>
        <v>정상</v>
      </c>
      <c r="F16" s="7" t="s">
        <v>514</v>
      </c>
    </row>
    <row r="18" customFormat="false" ht="17.15" hidden="false" customHeight="false" outlineLevel="0" collapsed="false">
      <c r="B18" s="3" t="s">
        <v>515</v>
      </c>
    </row>
    <row r="19" customFormat="false" ht="15" hidden="false" customHeight="false" outlineLevel="0" collapsed="false">
      <c r="B19" s="4" t="s">
        <v>494</v>
      </c>
      <c r="C19" s="4" t="s">
        <v>495</v>
      </c>
      <c r="D19" s="4" t="s">
        <v>310</v>
      </c>
      <c r="E19" s="4" t="s">
        <v>496</v>
      </c>
      <c r="F19" s="4" t="s">
        <v>497</v>
      </c>
    </row>
    <row r="20" customFormat="false" ht="15" hidden="false" customHeight="false" outlineLevel="0" collapsed="false">
      <c r="B20" s="5" t="s">
        <v>516</v>
      </c>
      <c r="C20" s="11" t="n">
        <f aca="false">MAX(0,-CF_자금판!$D$44)</f>
        <v>0</v>
      </c>
      <c r="D20" s="59" t="n">
        <v>0</v>
      </c>
      <c r="E20" s="20" t="str">
        <f aca="false">IF(C20&lt;0.01,"정상","대응 필요")</f>
        <v>정상</v>
      </c>
      <c r="F20" s="7" t="s">
        <v>517</v>
      </c>
    </row>
    <row r="21" customFormat="false" ht="15" hidden="false" customHeight="false" outlineLevel="0" collapsed="false">
      <c r="B21" s="5" t="s">
        <v>518</v>
      </c>
      <c r="C21" s="11" t="n">
        <f aca="false">MAX(0,-CF_자금판!$D$68)</f>
        <v>-0</v>
      </c>
      <c r="D21" s="59" t="n">
        <v>0</v>
      </c>
      <c r="E21" s="20" t="str">
        <f aca="false">IF(C21&lt;0.01,"정상","대응 필요")</f>
        <v>정상</v>
      </c>
      <c r="F21" s="7" t="s">
        <v>517</v>
      </c>
    </row>
    <row r="22" customFormat="false" ht="15" hidden="false" customHeight="false" outlineLevel="0" collapsed="false">
      <c r="B22" s="5" t="s">
        <v>519</v>
      </c>
      <c r="C22" s="11" t="n">
        <f aca="false">MAX(0,-CF_자금판!$D$92)</f>
        <v>11199.3038769259</v>
      </c>
      <c r="D22" s="59" t="n">
        <v>0</v>
      </c>
      <c r="E22" s="20" t="str">
        <f aca="false">IF(C22&lt;0.01,"정상","대응 필요")</f>
        <v>대응 필요</v>
      </c>
      <c r="F22" s="7" t="s">
        <v>517</v>
      </c>
    </row>
  </sheetData>
  <conditionalFormatting sqref="E7:E23">
    <cfRule type="cellIs" priority="2" operator="equal" aboveAverage="0" equalAverage="0" bottom="0" percent="0" rank="0" text="" dxfId="2">
      <formula>"정상"</formula>
    </cfRule>
    <cfRule type="cellIs" priority="3" operator="notEqual" aboveAverage="0" equalAverage="0" bottom="0" percent="0" rank="0" text="" dxfId="3">
      <formula>"정상"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2026-10-10T06:54:29Z</dcterms:created>
  <dc:creator>김부경</dc:creator>
  <dc:description/>
  <dc:language>en-US</dc:language>
  <cp:lastModifiedBy>김부경</cp:lastModifiedBy>
  <dcterms:modified xsi:type="dcterms:W3CDTF">2026-10-10T15:54:32Z</dcterms:modified>
  <cp:revision>1</cp:revision>
  <dc:subject/>
  <dc:title>LG CNS 자금판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